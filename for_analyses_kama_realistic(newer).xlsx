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для диссертации\для анализа Саитов\Ion_exchange\"/>
    </mc:Choice>
  </mc:AlternateContent>
  <xr:revisionPtr revIDLastSave="0" documentId="13_ncr:1_{9103F116-9CB0-4843-8758-68DB5AE1DF0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2" sheetId="2" r:id="rId1"/>
  </sheets>
  <calcPr calcId="181029"/>
</workbook>
</file>

<file path=xl/calcChain.xml><?xml version="1.0" encoding="utf-8"?>
<calcChain xmlns="http://schemas.openxmlformats.org/spreadsheetml/2006/main">
  <c r="Z112" i="2" l="1"/>
  <c r="Y112" i="2"/>
  <c r="X112" i="2"/>
  <c r="W112" i="2"/>
  <c r="V112" i="2"/>
  <c r="Z111" i="2"/>
  <c r="Y111" i="2"/>
  <c r="X111" i="2"/>
  <c r="W111" i="2"/>
  <c r="V111" i="2"/>
  <c r="Z110" i="2"/>
  <c r="Y110" i="2"/>
  <c r="X110" i="2"/>
  <c r="W110" i="2"/>
  <c r="V110" i="2"/>
  <c r="Z109" i="2"/>
  <c r="Y109" i="2"/>
  <c r="X109" i="2"/>
  <c r="W109" i="2"/>
  <c r="V109" i="2"/>
  <c r="Z108" i="2"/>
  <c r="Y108" i="2"/>
  <c r="X108" i="2"/>
  <c r="W108" i="2"/>
  <c r="V108" i="2"/>
  <c r="Z107" i="2"/>
  <c r="Y107" i="2"/>
  <c r="X107" i="2"/>
  <c r="W107" i="2"/>
  <c r="V107" i="2"/>
  <c r="Z106" i="2"/>
  <c r="Y106" i="2"/>
  <c r="X106" i="2"/>
  <c r="W106" i="2"/>
  <c r="V106" i="2"/>
  <c r="Z105" i="2"/>
  <c r="Y105" i="2"/>
  <c r="X105" i="2"/>
  <c r="W105" i="2"/>
  <c r="V105" i="2"/>
  <c r="Z104" i="2"/>
  <c r="Y104" i="2"/>
  <c r="X104" i="2"/>
  <c r="W104" i="2"/>
  <c r="V104" i="2"/>
  <c r="Z103" i="2"/>
  <c r="Y103" i="2"/>
  <c r="X103" i="2"/>
  <c r="W103" i="2"/>
  <c r="V103" i="2"/>
  <c r="Z102" i="2"/>
  <c r="Y102" i="2"/>
  <c r="X102" i="2"/>
  <c r="W102" i="2"/>
  <c r="V102" i="2"/>
  <c r="Z101" i="2"/>
  <c r="Y101" i="2"/>
  <c r="X101" i="2"/>
  <c r="W101" i="2"/>
  <c r="V101" i="2"/>
  <c r="Z100" i="2"/>
  <c r="Y100" i="2"/>
  <c r="X100" i="2"/>
  <c r="W100" i="2"/>
  <c r="V100" i="2"/>
  <c r="Z99" i="2"/>
  <c r="Y99" i="2"/>
  <c r="X99" i="2"/>
  <c r="W99" i="2"/>
  <c r="V99" i="2"/>
  <c r="Z98" i="2"/>
  <c r="Y98" i="2"/>
  <c r="X98" i="2"/>
  <c r="W98" i="2"/>
  <c r="V98" i="2"/>
  <c r="Z97" i="2"/>
  <c r="Y97" i="2"/>
  <c r="X97" i="2"/>
  <c r="W97" i="2"/>
  <c r="V97" i="2"/>
  <c r="Z96" i="2"/>
  <c r="Y96" i="2"/>
  <c r="X96" i="2"/>
  <c r="W96" i="2"/>
  <c r="V96" i="2"/>
  <c r="Z95" i="2"/>
  <c r="Y95" i="2"/>
  <c r="X95" i="2"/>
  <c r="W95" i="2"/>
  <c r="V95" i="2"/>
  <c r="Z94" i="2"/>
  <c r="Y94" i="2"/>
  <c r="X94" i="2"/>
  <c r="W94" i="2"/>
  <c r="V94" i="2"/>
  <c r="Z93" i="2"/>
  <c r="Y93" i="2"/>
  <c r="X93" i="2"/>
  <c r="W93" i="2"/>
  <c r="V93" i="2"/>
  <c r="Z92" i="2"/>
  <c r="Y92" i="2"/>
  <c r="X92" i="2"/>
  <c r="W92" i="2"/>
  <c r="V92" i="2"/>
  <c r="Z91" i="2"/>
  <c r="Y91" i="2"/>
  <c r="X91" i="2"/>
  <c r="W91" i="2"/>
  <c r="V91" i="2"/>
  <c r="Z90" i="2"/>
  <c r="Y90" i="2"/>
  <c r="X90" i="2"/>
  <c r="W90" i="2"/>
  <c r="V90" i="2"/>
  <c r="X89" i="2"/>
  <c r="V89" i="2"/>
  <c r="R89" i="2"/>
  <c r="W89" i="2" s="1"/>
  <c r="Z88" i="2"/>
  <c r="Y88" i="2"/>
  <c r="X88" i="2"/>
  <c r="W88" i="2"/>
  <c r="V88" i="2"/>
  <c r="Z87" i="2"/>
  <c r="Y87" i="2"/>
  <c r="X87" i="2"/>
  <c r="W87" i="2"/>
  <c r="V87" i="2"/>
  <c r="Z86" i="2"/>
  <c r="Y86" i="2"/>
  <c r="X86" i="2"/>
  <c r="W86" i="2"/>
  <c r="V86" i="2"/>
  <c r="X85" i="2"/>
  <c r="V85" i="2"/>
  <c r="R85" i="2"/>
  <c r="Y85" i="2" s="1"/>
  <c r="Z84" i="2"/>
  <c r="Y84" i="2"/>
  <c r="X84" i="2"/>
  <c r="W84" i="2"/>
  <c r="V84" i="2"/>
  <c r="Z83" i="2"/>
  <c r="Y83" i="2"/>
  <c r="X83" i="2"/>
  <c r="W83" i="2"/>
  <c r="V83" i="2"/>
  <c r="Z82" i="2"/>
  <c r="Y82" i="2"/>
  <c r="X82" i="2"/>
  <c r="W82" i="2"/>
  <c r="V82" i="2"/>
  <c r="Z81" i="2"/>
  <c r="Y81" i="2"/>
  <c r="X81" i="2"/>
  <c r="W81" i="2"/>
  <c r="V81" i="2"/>
  <c r="Z80" i="2"/>
  <c r="Y80" i="2"/>
  <c r="X80" i="2"/>
  <c r="W80" i="2"/>
  <c r="V80" i="2"/>
  <c r="Z79" i="2"/>
  <c r="Y79" i="2"/>
  <c r="X79" i="2"/>
  <c r="W79" i="2"/>
  <c r="V79" i="2"/>
  <c r="Z78" i="2"/>
  <c r="Y78" i="2"/>
  <c r="X78" i="2"/>
  <c r="W78" i="2"/>
  <c r="V78" i="2"/>
  <c r="Z77" i="2"/>
  <c r="Y77" i="2"/>
  <c r="X77" i="2"/>
  <c r="W77" i="2"/>
  <c r="V77" i="2"/>
  <c r="Z76" i="2"/>
  <c r="Y76" i="2"/>
  <c r="X76" i="2"/>
  <c r="W76" i="2"/>
  <c r="V76" i="2"/>
  <c r="Z75" i="2"/>
  <c r="Y75" i="2"/>
  <c r="X75" i="2"/>
  <c r="W75" i="2"/>
  <c r="V75" i="2"/>
  <c r="Z74" i="2"/>
  <c r="Y74" i="2"/>
  <c r="X74" i="2"/>
  <c r="W74" i="2"/>
  <c r="V74" i="2"/>
  <c r="Z73" i="2"/>
  <c r="Y73" i="2"/>
  <c r="X73" i="2"/>
  <c r="W73" i="2"/>
  <c r="V73" i="2"/>
  <c r="Z72" i="2"/>
  <c r="Y72" i="2"/>
  <c r="X72" i="2"/>
  <c r="W72" i="2"/>
  <c r="V72" i="2"/>
  <c r="Z71" i="2"/>
  <c r="Y71" i="2"/>
  <c r="X71" i="2"/>
  <c r="W71" i="2"/>
  <c r="V71" i="2"/>
  <c r="Z70" i="2"/>
  <c r="Y70" i="2"/>
  <c r="X70" i="2"/>
  <c r="W70" i="2"/>
  <c r="V70" i="2"/>
  <c r="Z69" i="2"/>
  <c r="Y69" i="2"/>
  <c r="X69" i="2"/>
  <c r="W69" i="2"/>
  <c r="V69" i="2"/>
  <c r="Z68" i="2"/>
  <c r="Y68" i="2"/>
  <c r="X68" i="2"/>
  <c r="W68" i="2"/>
  <c r="V68" i="2"/>
  <c r="Z67" i="2"/>
  <c r="Y67" i="2"/>
  <c r="X67" i="2"/>
  <c r="W67" i="2"/>
  <c r="V67" i="2"/>
  <c r="Z66" i="2"/>
  <c r="Y66" i="2"/>
  <c r="X66" i="2"/>
  <c r="W66" i="2"/>
  <c r="V66" i="2"/>
  <c r="Z65" i="2"/>
  <c r="Y65" i="2"/>
  <c r="X65" i="2"/>
  <c r="W65" i="2"/>
  <c r="V65" i="2"/>
  <c r="Z64" i="2"/>
  <c r="Y64" i="2"/>
  <c r="X64" i="2"/>
  <c r="W64" i="2"/>
  <c r="V64" i="2"/>
  <c r="Z63" i="2"/>
  <c r="Y63" i="2"/>
  <c r="X63" i="2"/>
  <c r="W63" i="2"/>
  <c r="V63" i="2"/>
  <c r="Z62" i="2"/>
  <c r="Y62" i="2"/>
  <c r="X62" i="2"/>
  <c r="W62" i="2"/>
  <c r="V62" i="2"/>
  <c r="Z61" i="2"/>
  <c r="Y61" i="2"/>
  <c r="X61" i="2"/>
  <c r="W61" i="2"/>
  <c r="V61" i="2"/>
  <c r="Z60" i="2"/>
  <c r="Y60" i="2"/>
  <c r="X60" i="2"/>
  <c r="W60" i="2"/>
  <c r="V60" i="2"/>
  <c r="Z59" i="2"/>
  <c r="Y59" i="2"/>
  <c r="X59" i="2"/>
  <c r="W59" i="2"/>
  <c r="V59" i="2"/>
  <c r="Z58" i="2"/>
  <c r="Y58" i="2"/>
  <c r="X58" i="2"/>
  <c r="W58" i="2"/>
  <c r="V58" i="2"/>
  <c r="Z57" i="2"/>
  <c r="Y57" i="2"/>
  <c r="X57" i="2"/>
  <c r="W57" i="2"/>
  <c r="V57" i="2"/>
  <c r="Z56" i="2"/>
  <c r="Y56" i="2"/>
  <c r="X56" i="2"/>
  <c r="W56" i="2"/>
  <c r="V56" i="2"/>
  <c r="Z55" i="2"/>
  <c r="Y55" i="2"/>
  <c r="X55" i="2"/>
  <c r="W55" i="2"/>
  <c r="V55" i="2"/>
  <c r="Z54" i="2"/>
  <c r="Y54" i="2"/>
  <c r="X54" i="2"/>
  <c r="W54" i="2"/>
  <c r="V54" i="2"/>
  <c r="Z53" i="2"/>
  <c r="Y53" i="2"/>
  <c r="X53" i="2"/>
  <c r="W53" i="2"/>
  <c r="V53" i="2"/>
  <c r="Z52" i="2"/>
  <c r="Y52" i="2"/>
  <c r="X52" i="2"/>
  <c r="W52" i="2"/>
  <c r="V52" i="2"/>
  <c r="Z51" i="2"/>
  <c r="Y51" i="2"/>
  <c r="X51" i="2"/>
  <c r="W51" i="2"/>
  <c r="V51" i="2"/>
  <c r="Z50" i="2"/>
  <c r="Y50" i="2"/>
  <c r="X50" i="2"/>
  <c r="W50" i="2"/>
  <c r="V50" i="2"/>
  <c r="Z49" i="2"/>
  <c r="Y49" i="2"/>
  <c r="X49" i="2"/>
  <c r="W49" i="2"/>
  <c r="V49" i="2"/>
  <c r="Z48" i="2"/>
  <c r="Y48" i="2"/>
  <c r="X48" i="2"/>
  <c r="W48" i="2"/>
  <c r="V48" i="2"/>
  <c r="Z47" i="2"/>
  <c r="Y47" i="2"/>
  <c r="X47" i="2"/>
  <c r="W47" i="2"/>
  <c r="V47" i="2"/>
  <c r="Z46" i="2"/>
  <c r="Y46" i="2"/>
  <c r="X46" i="2"/>
  <c r="W46" i="2"/>
  <c r="V46" i="2"/>
  <c r="Z45" i="2"/>
  <c r="Y45" i="2"/>
  <c r="X45" i="2"/>
  <c r="W45" i="2"/>
  <c r="V45" i="2"/>
  <c r="Z44" i="2"/>
  <c r="Y44" i="2"/>
  <c r="X44" i="2"/>
  <c r="W44" i="2"/>
  <c r="V44" i="2"/>
  <c r="Z43" i="2"/>
  <c r="Y43" i="2"/>
  <c r="X43" i="2"/>
  <c r="W43" i="2"/>
  <c r="V43" i="2"/>
  <c r="Z42" i="2"/>
  <c r="Y42" i="2"/>
  <c r="X42" i="2"/>
  <c r="W42" i="2"/>
  <c r="V42" i="2"/>
  <c r="Z41" i="2"/>
  <c r="Y41" i="2"/>
  <c r="X41" i="2"/>
  <c r="W41" i="2"/>
  <c r="V41" i="2"/>
  <c r="Z40" i="2"/>
  <c r="Y40" i="2"/>
  <c r="X40" i="2"/>
  <c r="W40" i="2"/>
  <c r="V40" i="2"/>
  <c r="Z39" i="2"/>
  <c r="Y39" i="2"/>
  <c r="X39" i="2"/>
  <c r="W39" i="2"/>
  <c r="V39" i="2"/>
  <c r="Z38" i="2"/>
  <c r="Y38" i="2"/>
  <c r="X38" i="2"/>
  <c r="W38" i="2"/>
  <c r="V38" i="2"/>
  <c r="Z37" i="2"/>
  <c r="Y37" i="2"/>
  <c r="X37" i="2"/>
  <c r="W37" i="2"/>
  <c r="V37" i="2"/>
  <c r="Z36" i="2"/>
  <c r="Y36" i="2"/>
  <c r="X36" i="2"/>
  <c r="W36" i="2"/>
  <c r="V36" i="2"/>
  <c r="Y35" i="2"/>
  <c r="W35" i="2"/>
  <c r="Q35" i="2"/>
  <c r="X35" i="2" s="1"/>
  <c r="Z34" i="2"/>
  <c r="Y34" i="2"/>
  <c r="X34" i="2"/>
  <c r="U34" i="2"/>
  <c r="T34" i="2"/>
  <c r="X33" i="2"/>
  <c r="T33" i="2"/>
  <c r="R33" i="2"/>
  <c r="Y33" i="2" s="1"/>
  <c r="Z32" i="2"/>
  <c r="Y32" i="2"/>
  <c r="X32" i="2"/>
  <c r="U32" i="2"/>
  <c r="T32" i="2"/>
  <c r="Z31" i="2"/>
  <c r="Y31" i="2"/>
  <c r="X31" i="2"/>
  <c r="U31" i="2"/>
  <c r="T31" i="2"/>
  <c r="Z30" i="2"/>
  <c r="Y30" i="2"/>
  <c r="X30" i="2"/>
  <c r="U30" i="2"/>
  <c r="T30" i="2"/>
  <c r="Z29" i="2"/>
  <c r="Y29" i="2"/>
  <c r="X29" i="2"/>
  <c r="U29" i="2"/>
  <c r="T29" i="2"/>
  <c r="Z28" i="2"/>
  <c r="Y28" i="2"/>
  <c r="X28" i="2"/>
  <c r="U28" i="2"/>
  <c r="T28" i="2"/>
  <c r="Z27" i="2"/>
  <c r="Y27" i="2"/>
  <c r="X27" i="2"/>
  <c r="U27" i="2"/>
  <c r="T27" i="2"/>
  <c r="X26" i="2"/>
  <c r="T26" i="2"/>
  <c r="R26" i="2"/>
  <c r="Y26" i="2" s="1"/>
  <c r="X25" i="2"/>
  <c r="V25" i="2"/>
  <c r="R25" i="2"/>
  <c r="Y25" i="2" s="1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Z20" i="2"/>
  <c r="Y20" i="2"/>
  <c r="X20" i="2"/>
  <c r="W20" i="2"/>
  <c r="V20" i="2"/>
  <c r="Z19" i="2"/>
  <c r="Y19" i="2"/>
  <c r="X19" i="2"/>
  <c r="W19" i="2"/>
  <c r="V19" i="2"/>
  <c r="Z18" i="2"/>
  <c r="Y18" i="2"/>
  <c r="X18" i="2"/>
  <c r="W18" i="2"/>
  <c r="V18" i="2"/>
  <c r="Z17" i="2"/>
  <c r="Y17" i="2"/>
  <c r="X17" i="2"/>
  <c r="W17" i="2"/>
  <c r="V17" i="2"/>
  <c r="Z16" i="2"/>
  <c r="Y16" i="2"/>
  <c r="X16" i="2"/>
  <c r="W16" i="2"/>
  <c r="V16" i="2"/>
  <c r="Z15" i="2"/>
  <c r="Y15" i="2"/>
  <c r="X15" i="2"/>
  <c r="W15" i="2"/>
  <c r="V15" i="2"/>
  <c r="Z14" i="2"/>
  <c r="Y14" i="2"/>
  <c r="X14" i="2"/>
  <c r="W14" i="2"/>
  <c r="V14" i="2"/>
  <c r="Z13" i="2"/>
  <c r="Y13" i="2"/>
  <c r="X13" i="2"/>
  <c r="W13" i="2"/>
  <c r="V13" i="2"/>
  <c r="Z12" i="2"/>
  <c r="Y12" i="2"/>
  <c r="X12" i="2"/>
  <c r="W12" i="2"/>
  <c r="V12" i="2"/>
  <c r="Z11" i="2"/>
  <c r="Y11" i="2"/>
  <c r="X11" i="2"/>
  <c r="W11" i="2"/>
  <c r="V11" i="2"/>
  <c r="Z10" i="2"/>
  <c r="Y10" i="2"/>
  <c r="X10" i="2"/>
  <c r="W10" i="2"/>
  <c r="V10" i="2"/>
  <c r="Z9" i="2"/>
  <c r="Y9" i="2"/>
  <c r="X9" i="2"/>
  <c r="W9" i="2"/>
  <c r="V9" i="2"/>
  <c r="Z8" i="2"/>
  <c r="Y8" i="2"/>
  <c r="X8" i="2"/>
  <c r="W8" i="2"/>
  <c r="V8" i="2"/>
  <c r="Z7" i="2"/>
  <c r="Y7" i="2"/>
  <c r="X7" i="2"/>
  <c r="W7" i="2"/>
  <c r="V7" i="2"/>
  <c r="Z6" i="2"/>
  <c r="Y6" i="2"/>
  <c r="X6" i="2"/>
  <c r="W6" i="2"/>
  <c r="V6" i="2"/>
  <c r="Z5" i="2"/>
  <c r="Y5" i="2"/>
  <c r="X5" i="2"/>
  <c r="U5" i="2"/>
  <c r="T5" i="2"/>
  <c r="Z4" i="2"/>
  <c r="Y4" i="2"/>
  <c r="X4" i="2"/>
  <c r="U4" i="2"/>
  <c r="T4" i="2"/>
  <c r="Z3" i="2"/>
  <c r="Y3" i="2"/>
  <c r="X3" i="2"/>
  <c r="U3" i="2"/>
  <c r="T3" i="2"/>
  <c r="Z2" i="2"/>
  <c r="Y2" i="2"/>
  <c r="X2" i="2"/>
  <c r="U2" i="2"/>
  <c r="T2" i="2"/>
  <c r="U26" i="2" l="1"/>
  <c r="Z33" i="2"/>
  <c r="Z25" i="2"/>
  <c r="Z85" i="2"/>
  <c r="Z26" i="2"/>
  <c r="U33" i="2"/>
  <c r="Y89" i="2"/>
  <c r="W25" i="2"/>
  <c r="V35" i="2"/>
  <c r="Z35" i="2"/>
  <c r="W85" i="2"/>
  <c r="Z89" i="2"/>
</calcChain>
</file>

<file path=xl/sharedStrings.xml><?xml version="1.0" encoding="utf-8"?>
<sst xmlns="http://schemas.openxmlformats.org/spreadsheetml/2006/main" count="28" uniqueCount="28">
  <si>
    <t>Acid_alkali_ratio</t>
  </si>
  <si>
    <t>Mg2_max</t>
  </si>
  <si>
    <t>Na_K_max</t>
  </si>
  <si>
    <t>G_acid</t>
  </si>
  <si>
    <t>G_alkali</t>
  </si>
  <si>
    <t>F_cycle</t>
  </si>
  <si>
    <t>Sum_cations</t>
  </si>
  <si>
    <t>Sum_anions</t>
  </si>
  <si>
    <t>SpecG_acid</t>
  </si>
  <si>
    <t>SpecG_alkali</t>
  </si>
  <si>
    <t>uepp_end</t>
  </si>
  <si>
    <t>SiO2_end</t>
  </si>
  <si>
    <t>reg_date</t>
  </si>
  <si>
    <t>turb</t>
  </si>
  <si>
    <t>pH</t>
  </si>
  <si>
    <t>Аl3+</t>
  </si>
  <si>
    <t>Alkal</t>
  </si>
  <si>
    <t>hardness</t>
  </si>
  <si>
    <t>NO</t>
  </si>
  <si>
    <t>Сl</t>
  </si>
  <si>
    <t>SO2</t>
  </si>
  <si>
    <t>Са2</t>
  </si>
  <si>
    <t>Fe_total</t>
  </si>
  <si>
    <t>total_sal</t>
  </si>
  <si>
    <t>PO</t>
  </si>
  <si>
    <t>SiO2</t>
  </si>
  <si>
    <t>SpecG_acid(eq)</t>
  </si>
  <si>
    <t>SpecG_alkali(eq)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</si>
</sst>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2" fillId="0" borderId="0" xfId="0" applyNumberFormat="1" applyFont="1"/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14" fontId="6" fillId="0" borderId="0" xfId="0" applyNumberFormat="1" applyFont="1"/>
    <xf numFmtId="2" fontId="0" fillId="0" borderId="0" xfId="0" applyNumberFormat="1" applyAlignment="1">
      <alignment wrapText="1"/>
    </xf>
    <xf numFmtId="2" fontId="0" fillId="3" borderId="0" xfId="0" applyNumberFormat="1" applyFill="1"/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2" fontId="0" fillId="7" borderId="0" xfId="0" applyNumberFormat="1" applyFill="1" applyAlignment="1">
      <alignment wrapText="1"/>
    </xf>
    <xf numFmtId="2" fontId="1" fillId="0" borderId="0" xfId="0" applyNumberFormat="1" applyFont="1" applyAlignment="1">
      <alignment wrapText="1"/>
    </xf>
    <xf numFmtId="2" fontId="0" fillId="8" borderId="0" xfId="0" applyNumberFormat="1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2"/>
  <sheetViews>
    <sheetView tabSelected="1" topLeftCell="K1" workbookViewId="0">
      <selection activeCell="P2" sqref="P2:P112"/>
    </sheetView>
  </sheetViews>
  <sheetFormatPr defaultRowHeight="15" x14ac:dyDescent="0.25"/>
  <cols>
    <col min="1" max="1" width="11.7109375" customWidth="1"/>
    <col min="2" max="21" width="13.42578125" customWidth="1"/>
    <col min="22" max="22" width="14.5703125" customWidth="1"/>
    <col min="23" max="23" width="15.28515625" customWidth="1"/>
    <col min="24" max="28" width="13.42578125" customWidth="1"/>
  </cols>
  <sheetData>
    <row r="1" spans="1:28" ht="30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1</v>
      </c>
      <c r="L1" s="7" t="s">
        <v>2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8" t="s">
        <v>26</v>
      </c>
      <c r="W1" s="8" t="s">
        <v>27</v>
      </c>
      <c r="X1" s="8" t="s">
        <v>8</v>
      </c>
      <c r="Y1" s="8" t="s">
        <v>9</v>
      </c>
      <c r="Z1" s="9" t="s">
        <v>0</v>
      </c>
      <c r="AA1" s="7" t="s">
        <v>10</v>
      </c>
      <c r="AB1" s="9" t="s">
        <v>11</v>
      </c>
    </row>
    <row r="2" spans="1:28" x14ac:dyDescent="0.25">
      <c r="A2" s="10">
        <v>42745</v>
      </c>
      <c r="B2" s="20">
        <v>0.2</v>
      </c>
      <c r="C2" s="20">
        <v>7.57</v>
      </c>
      <c r="D2" s="20">
        <v>0.02</v>
      </c>
      <c r="E2" s="20">
        <v>2.78</v>
      </c>
      <c r="F2" s="20">
        <v>3.85</v>
      </c>
      <c r="G2" s="20">
        <v>0.4</v>
      </c>
      <c r="H2" s="20">
        <v>18.78</v>
      </c>
      <c r="I2" s="20">
        <v>8.94</v>
      </c>
      <c r="J2" s="20">
        <v>65.459999999999994</v>
      </c>
      <c r="K2" s="20">
        <v>8.98</v>
      </c>
      <c r="L2" s="20">
        <v>2.5</v>
      </c>
      <c r="M2" s="20">
        <v>0.04</v>
      </c>
      <c r="N2" s="20">
        <v>223.01</v>
      </c>
      <c r="O2" s="20">
        <v>4.9000000000000004</v>
      </c>
      <c r="P2" s="20">
        <v>4</v>
      </c>
      <c r="Q2" s="1">
        <v>2751</v>
      </c>
      <c r="R2" s="1">
        <v>1364</v>
      </c>
      <c r="S2" s="1">
        <v>7147</v>
      </c>
      <c r="T2" s="1">
        <f>Q2*1000/(S2*V2)</f>
        <v>3.6658737931999439</v>
      </c>
      <c r="U2" s="1">
        <f>R2*1000/(S2*W2)</f>
        <v>3.0782146355114035</v>
      </c>
      <c r="V2" s="1">
        <v>105</v>
      </c>
      <c r="W2" s="1">
        <v>62</v>
      </c>
      <c r="X2" s="1">
        <f t="shared" ref="X2:X16" si="0">Q2/38.75</f>
        <v>70.99354838709678</v>
      </c>
      <c r="Y2" s="1">
        <f t="shared" ref="Y2:Y65" si="1">R2/31.85</f>
        <v>42.825745682888538</v>
      </c>
      <c r="Z2" s="2">
        <f t="shared" ref="Z2:Z65" si="2">(Q2*40)/(R2*49)</f>
        <v>1.6464180980310013</v>
      </c>
      <c r="AA2" s="1">
        <v>3.2</v>
      </c>
      <c r="AB2" s="1">
        <v>70</v>
      </c>
    </row>
    <row r="3" spans="1:28" x14ac:dyDescent="0.25">
      <c r="A3" s="10">
        <v>42751</v>
      </c>
      <c r="B3" s="20">
        <v>0.2</v>
      </c>
      <c r="C3" s="20">
        <v>7.56</v>
      </c>
      <c r="D3" s="20">
        <v>0.02</v>
      </c>
      <c r="E3" s="20">
        <v>3.8</v>
      </c>
      <c r="F3" s="20">
        <v>4.92</v>
      </c>
      <c r="G3" s="20">
        <v>0.4</v>
      </c>
      <c r="H3" s="20">
        <v>19.649999999999999</v>
      </c>
      <c r="I3" s="20">
        <v>12.27</v>
      </c>
      <c r="J3" s="20">
        <v>83.63</v>
      </c>
      <c r="K3" s="20">
        <v>11.39</v>
      </c>
      <c r="L3" s="20">
        <v>5.33</v>
      </c>
      <c r="M3" s="20">
        <v>0.04</v>
      </c>
      <c r="N3" s="20">
        <v>273.05</v>
      </c>
      <c r="O3" s="20">
        <v>4.9000000000000004</v>
      </c>
      <c r="P3" s="20">
        <v>4</v>
      </c>
      <c r="Q3" s="1">
        <v>2751</v>
      </c>
      <c r="R3" s="1">
        <v>1404</v>
      </c>
      <c r="S3" s="1">
        <v>6444</v>
      </c>
      <c r="T3" s="1">
        <f>Q3*1000/(S3*V3)</f>
        <v>3.7448136169100592</v>
      </c>
      <c r="U3" s="1">
        <f>R3*1000/(S3*W3)</f>
        <v>3.0686914784798174</v>
      </c>
      <c r="V3" s="1">
        <v>114</v>
      </c>
      <c r="W3" s="1">
        <v>71</v>
      </c>
      <c r="X3" s="1">
        <f t="shared" si="0"/>
        <v>70.99354838709678</v>
      </c>
      <c r="Y3" s="1">
        <f t="shared" si="1"/>
        <v>44.08163265306122</v>
      </c>
      <c r="Z3" s="2">
        <f t="shared" si="2"/>
        <v>1.5995115995115996</v>
      </c>
      <c r="AA3" s="1">
        <v>3</v>
      </c>
      <c r="AB3" s="12">
        <v>80</v>
      </c>
    </row>
    <row r="4" spans="1:28" x14ac:dyDescent="0.25">
      <c r="A4" s="10">
        <v>42755</v>
      </c>
      <c r="B4" s="20">
        <v>0.2</v>
      </c>
      <c r="C4" s="20">
        <v>7.54</v>
      </c>
      <c r="D4" s="20">
        <v>0.02</v>
      </c>
      <c r="E4" s="20">
        <v>2.64</v>
      </c>
      <c r="F4" s="20">
        <v>3.84</v>
      </c>
      <c r="G4" s="20">
        <v>0.4</v>
      </c>
      <c r="H4" s="20">
        <v>17.829999999999998</v>
      </c>
      <c r="I4" s="20">
        <v>8.33</v>
      </c>
      <c r="J4" s="20">
        <v>65.16</v>
      </c>
      <c r="K4" s="20">
        <v>9.16</v>
      </c>
      <c r="L4" s="20">
        <v>2.5</v>
      </c>
      <c r="M4" s="20">
        <v>0.04</v>
      </c>
      <c r="N4" s="20">
        <v>221.03</v>
      </c>
      <c r="O4" s="20">
        <v>4.9000000000000004</v>
      </c>
      <c r="P4" s="20">
        <v>4</v>
      </c>
      <c r="Q4" s="1">
        <v>2751</v>
      </c>
      <c r="R4" s="1">
        <v>1242</v>
      </c>
      <c r="S4" s="1">
        <v>6669</v>
      </c>
      <c r="T4" s="1">
        <f>Q4*1000/(S4*V4)</f>
        <v>3.8915624814333851</v>
      </c>
      <c r="U4" s="1">
        <f>R4*1000/(S4*W4)</f>
        <v>3.2672775055046523</v>
      </c>
      <c r="V4" s="1">
        <v>106</v>
      </c>
      <c r="W4" s="1">
        <v>57</v>
      </c>
      <c r="X4" s="1">
        <f t="shared" si="0"/>
        <v>70.99354838709678</v>
      </c>
      <c r="Y4" s="1">
        <f t="shared" si="1"/>
        <v>38.995290423861853</v>
      </c>
      <c r="Z4" s="2">
        <f t="shared" si="2"/>
        <v>1.808143547273982</v>
      </c>
      <c r="AA4" s="1">
        <v>2.8</v>
      </c>
      <c r="AB4" s="12">
        <v>60</v>
      </c>
    </row>
    <row r="5" spans="1:28" x14ac:dyDescent="0.25">
      <c r="A5" s="10">
        <v>42758</v>
      </c>
      <c r="B5" s="20">
        <v>0.31</v>
      </c>
      <c r="C5" s="20">
        <v>7.53</v>
      </c>
      <c r="D5" s="20">
        <v>0.03</v>
      </c>
      <c r="E5" s="20">
        <v>4.29</v>
      </c>
      <c r="F5" s="20">
        <v>5.38</v>
      </c>
      <c r="G5" s="20">
        <v>0.4</v>
      </c>
      <c r="H5" s="20">
        <v>19.73</v>
      </c>
      <c r="I5" s="20">
        <v>14.2</v>
      </c>
      <c r="J5" s="20">
        <v>90.98</v>
      </c>
      <c r="K5" s="20">
        <v>12.59</v>
      </c>
      <c r="L5" s="20">
        <v>7.95</v>
      </c>
      <c r="M5" s="20">
        <v>0.04</v>
      </c>
      <c r="N5" s="20">
        <v>294.54000000000002</v>
      </c>
      <c r="O5" s="20">
        <v>4.95</v>
      </c>
      <c r="P5" s="20">
        <v>4.13</v>
      </c>
      <c r="Q5" s="1">
        <v>2602</v>
      </c>
      <c r="R5" s="1">
        <v>1368</v>
      </c>
      <c r="S5" s="1">
        <v>6307</v>
      </c>
      <c r="T5" s="1">
        <f>Q5*1000/(S5*V5)</f>
        <v>3.437978965170974</v>
      </c>
      <c r="U5" s="1">
        <f>R5*1000/(S5*W5)</f>
        <v>2.8169072088526663</v>
      </c>
      <c r="V5" s="1">
        <v>120</v>
      </c>
      <c r="W5" s="1">
        <v>77</v>
      </c>
      <c r="X5" s="1">
        <f t="shared" si="0"/>
        <v>67.148387096774186</v>
      </c>
      <c r="Y5" s="1">
        <f t="shared" si="1"/>
        <v>42.951334379905809</v>
      </c>
      <c r="Z5" s="2">
        <f t="shared" si="2"/>
        <v>1.5526912519393723</v>
      </c>
      <c r="AA5" s="13">
        <v>3.1</v>
      </c>
      <c r="AB5" s="12">
        <v>50</v>
      </c>
    </row>
    <row r="6" spans="1:28" x14ac:dyDescent="0.25">
      <c r="A6" s="10">
        <v>42772</v>
      </c>
      <c r="B6" s="20">
        <v>0.2</v>
      </c>
      <c r="C6" s="20">
        <v>7.47</v>
      </c>
      <c r="D6" s="20">
        <v>0.02</v>
      </c>
      <c r="E6" s="20">
        <v>2.15</v>
      </c>
      <c r="F6" s="20">
        <v>2.57</v>
      </c>
      <c r="G6" s="20">
        <v>0.4</v>
      </c>
      <c r="H6" s="20">
        <v>16.899999999999999</v>
      </c>
      <c r="I6" s="20">
        <v>11.29</v>
      </c>
      <c r="J6" s="20">
        <v>43.03</v>
      </c>
      <c r="K6" s="20">
        <v>6.72</v>
      </c>
      <c r="L6" s="20">
        <v>14.43</v>
      </c>
      <c r="M6" s="20">
        <v>0.04</v>
      </c>
      <c r="N6" s="20">
        <v>169.98</v>
      </c>
      <c r="O6" s="20">
        <v>4.9000000000000004</v>
      </c>
      <c r="P6" s="20">
        <v>4</v>
      </c>
      <c r="Q6" s="1">
        <v>2438</v>
      </c>
      <c r="R6" s="1">
        <v>1421</v>
      </c>
      <c r="S6" s="1">
        <v>7142</v>
      </c>
      <c r="T6" s="1">
        <v>3.3149999999999999</v>
      </c>
      <c r="U6" s="1">
        <v>2.73</v>
      </c>
      <c r="V6" s="3">
        <f t="shared" ref="V6:V25" si="3">Q6*1000/(S6*T6)</f>
        <v>102.97464956729951</v>
      </c>
      <c r="W6" s="3">
        <f t="shared" ref="W6:W25" si="4">R6*1000/(S6*U6)</f>
        <v>72.880540536659268</v>
      </c>
      <c r="X6" s="4">
        <f t="shared" si="0"/>
        <v>62.916129032258063</v>
      </c>
      <c r="Y6" s="4">
        <f t="shared" si="1"/>
        <v>44.615384615384613</v>
      </c>
      <c r="Z6" s="2">
        <f t="shared" si="2"/>
        <v>1.4005658561806145</v>
      </c>
      <c r="AA6" s="13">
        <v>3</v>
      </c>
      <c r="AB6" s="1">
        <v>32</v>
      </c>
    </row>
    <row r="7" spans="1:28" x14ac:dyDescent="0.25">
      <c r="A7" s="10">
        <v>42776</v>
      </c>
      <c r="B7" s="20">
        <v>0.2</v>
      </c>
      <c r="C7" s="20">
        <v>7.45</v>
      </c>
      <c r="D7" s="20">
        <v>0.02</v>
      </c>
      <c r="E7" s="20">
        <v>1.3</v>
      </c>
      <c r="F7" s="20">
        <v>1.67</v>
      </c>
      <c r="G7" s="20">
        <v>0.4</v>
      </c>
      <c r="H7" s="20">
        <v>15.06</v>
      </c>
      <c r="I7" s="20">
        <v>8</v>
      </c>
      <c r="J7" s="20">
        <v>27.92</v>
      </c>
      <c r="K7" s="20">
        <v>4.71</v>
      </c>
      <c r="L7" s="20">
        <v>10.66</v>
      </c>
      <c r="M7" s="20">
        <v>0.04</v>
      </c>
      <c r="N7" s="20">
        <v>126.84</v>
      </c>
      <c r="O7" s="20">
        <v>4.9000000000000004</v>
      </c>
      <c r="P7" s="20">
        <v>4</v>
      </c>
      <c r="Q7" s="1">
        <v>2684</v>
      </c>
      <c r="R7" s="1">
        <v>1425</v>
      </c>
      <c r="S7" s="1">
        <v>8238</v>
      </c>
      <c r="T7" s="1">
        <v>3.2509999999999999</v>
      </c>
      <c r="U7" s="1">
        <v>2.6480000000000001</v>
      </c>
      <c r="V7" s="3">
        <f t="shared" si="3"/>
        <v>100.21754376060285</v>
      </c>
      <c r="W7" s="3">
        <f t="shared" si="4"/>
        <v>65.324349837060439</v>
      </c>
      <c r="X7" s="4">
        <f t="shared" si="0"/>
        <v>69.264516129032259</v>
      </c>
      <c r="Y7" s="4">
        <f t="shared" si="1"/>
        <v>44.740973312401884</v>
      </c>
      <c r="Z7" s="2">
        <f t="shared" si="2"/>
        <v>1.5375581811672037</v>
      </c>
      <c r="AA7" s="13">
        <v>3</v>
      </c>
      <c r="AB7" s="1">
        <v>30</v>
      </c>
    </row>
    <row r="8" spans="1:28" x14ac:dyDescent="0.25">
      <c r="A8" s="10">
        <v>42781</v>
      </c>
      <c r="B8" s="20">
        <v>0.2</v>
      </c>
      <c r="C8" s="20">
        <v>7.42</v>
      </c>
      <c r="D8" s="20">
        <v>0.02</v>
      </c>
      <c r="E8" s="20">
        <v>3.62</v>
      </c>
      <c r="F8" s="20">
        <v>4.28</v>
      </c>
      <c r="G8" s="20">
        <v>0.41</v>
      </c>
      <c r="H8" s="20">
        <v>16.559999999999999</v>
      </c>
      <c r="I8" s="20">
        <v>13.73</v>
      </c>
      <c r="J8" s="20">
        <v>71.319999999999993</v>
      </c>
      <c r="K8" s="20">
        <v>11.03</v>
      </c>
      <c r="L8" s="20">
        <v>12.56</v>
      </c>
      <c r="M8" s="20">
        <v>0.04</v>
      </c>
      <c r="N8" s="20">
        <v>245.55</v>
      </c>
      <c r="O8" s="20">
        <v>4.9000000000000004</v>
      </c>
      <c r="P8" s="20">
        <v>4.37</v>
      </c>
      <c r="Q8" s="1">
        <v>2668</v>
      </c>
      <c r="R8" s="1">
        <v>1377</v>
      </c>
      <c r="S8" s="1">
        <v>7563</v>
      </c>
      <c r="T8" s="1">
        <v>2.83</v>
      </c>
      <c r="U8" s="1">
        <v>2.2400000000000002</v>
      </c>
      <c r="V8" s="3">
        <f t="shared" si="3"/>
        <v>124.65373314102645</v>
      </c>
      <c r="W8" s="3">
        <f t="shared" si="4"/>
        <v>81.281520938403119</v>
      </c>
      <c r="X8" s="4">
        <f t="shared" si="0"/>
        <v>68.851612903225814</v>
      </c>
      <c r="Y8" s="4">
        <f t="shared" si="1"/>
        <v>43.23390894819466</v>
      </c>
      <c r="Z8" s="2">
        <f t="shared" si="2"/>
        <v>1.5816697049190047</v>
      </c>
      <c r="AA8" s="13">
        <v>3.3</v>
      </c>
      <c r="AB8" s="1">
        <v>90</v>
      </c>
    </row>
    <row r="9" spans="1:28" x14ac:dyDescent="0.25">
      <c r="A9" s="10">
        <v>42788</v>
      </c>
      <c r="B9" s="20">
        <v>0.2</v>
      </c>
      <c r="C9" s="20">
        <v>7.38</v>
      </c>
      <c r="D9" s="20">
        <v>0.02</v>
      </c>
      <c r="E9" s="20">
        <v>2.41</v>
      </c>
      <c r="F9" s="20">
        <v>2.68</v>
      </c>
      <c r="G9" s="20">
        <v>0.41</v>
      </c>
      <c r="H9" s="20">
        <v>15.01</v>
      </c>
      <c r="I9" s="20">
        <v>12.23</v>
      </c>
      <c r="J9" s="20">
        <v>44.39</v>
      </c>
      <c r="K9" s="20">
        <v>7.38</v>
      </c>
      <c r="L9" s="20">
        <v>16.600000000000001</v>
      </c>
      <c r="M9" s="20">
        <v>0.04</v>
      </c>
      <c r="N9" s="20">
        <v>174.6</v>
      </c>
      <c r="O9" s="20">
        <v>4.9000000000000004</v>
      </c>
      <c r="P9" s="20">
        <v>4.26</v>
      </c>
      <c r="Q9" s="1">
        <v>2415</v>
      </c>
      <c r="R9" s="1">
        <v>1402</v>
      </c>
      <c r="S9" s="1">
        <v>7211</v>
      </c>
      <c r="T9" s="1">
        <v>2.98</v>
      </c>
      <c r="U9" s="1">
        <v>2.4500000000000002</v>
      </c>
      <c r="V9" s="3">
        <f t="shared" si="3"/>
        <v>112.38423028203556</v>
      </c>
      <c r="W9" s="3">
        <f t="shared" si="4"/>
        <v>79.35721785594005</v>
      </c>
      <c r="X9" s="4">
        <f t="shared" si="0"/>
        <v>62.322580645161288</v>
      </c>
      <c r="Y9" s="4">
        <f t="shared" si="1"/>
        <v>44.018838304552588</v>
      </c>
      <c r="Z9" s="2">
        <f t="shared" si="2"/>
        <v>1.4061544732015487</v>
      </c>
      <c r="AA9" s="13">
        <v>4.0999999999999996</v>
      </c>
      <c r="AB9" s="1">
        <v>50</v>
      </c>
    </row>
    <row r="10" spans="1:28" x14ac:dyDescent="0.25">
      <c r="A10" s="10">
        <v>42793</v>
      </c>
      <c r="B10" s="20">
        <v>0.51</v>
      </c>
      <c r="C10" s="20">
        <v>7.35</v>
      </c>
      <c r="D10" s="20">
        <v>0.04</v>
      </c>
      <c r="E10" s="20">
        <v>2.84</v>
      </c>
      <c r="F10" s="20">
        <v>2.56</v>
      </c>
      <c r="G10" s="20">
        <v>0.62</v>
      </c>
      <c r="H10" s="20">
        <v>16.97</v>
      </c>
      <c r="I10" s="20">
        <v>19.29</v>
      </c>
      <c r="J10" s="20">
        <v>42.15</v>
      </c>
      <c r="K10" s="20">
        <v>7.2</v>
      </c>
      <c r="L10" s="20">
        <v>34</v>
      </c>
      <c r="M10" s="20">
        <v>0.05</v>
      </c>
      <c r="N10" s="20">
        <v>184.22</v>
      </c>
      <c r="O10" s="20">
        <v>5.8</v>
      </c>
      <c r="P10" s="20">
        <v>5.34</v>
      </c>
      <c r="Q10" s="1">
        <v>2242</v>
      </c>
      <c r="R10" s="1">
        <v>1614</v>
      </c>
      <c r="S10" s="1">
        <v>6416</v>
      </c>
      <c r="T10" s="1">
        <v>3.14</v>
      </c>
      <c r="U10" s="1">
        <v>2.56</v>
      </c>
      <c r="V10" s="3">
        <f t="shared" si="3"/>
        <v>111.28627475896246</v>
      </c>
      <c r="W10" s="3">
        <f t="shared" si="4"/>
        <v>98.265079488778056</v>
      </c>
      <c r="X10" s="4">
        <f t="shared" si="0"/>
        <v>57.858064516129033</v>
      </c>
      <c r="Y10" s="4">
        <f t="shared" si="1"/>
        <v>50.675039246467819</v>
      </c>
      <c r="Z10" s="2">
        <f t="shared" si="2"/>
        <v>1.1339554409124244</v>
      </c>
      <c r="AA10" s="13">
        <v>3.52</v>
      </c>
      <c r="AB10" s="1">
        <v>50</v>
      </c>
    </row>
    <row r="11" spans="1:28" x14ac:dyDescent="0.25">
      <c r="A11" s="10">
        <v>42798</v>
      </c>
      <c r="B11" s="20">
        <v>0.2</v>
      </c>
      <c r="C11" s="20">
        <v>7.32</v>
      </c>
      <c r="D11" s="20">
        <v>0.02</v>
      </c>
      <c r="E11" s="20">
        <v>2.76</v>
      </c>
      <c r="F11" s="20">
        <v>2.81</v>
      </c>
      <c r="G11" s="20">
        <v>0.52</v>
      </c>
      <c r="H11" s="20">
        <v>14.75</v>
      </c>
      <c r="I11" s="20">
        <v>15.13</v>
      </c>
      <c r="J11" s="20">
        <v>46.08</v>
      </c>
      <c r="K11" s="20">
        <v>7.96</v>
      </c>
      <c r="L11" s="20">
        <v>23.11</v>
      </c>
      <c r="M11" s="20">
        <v>0.04</v>
      </c>
      <c r="N11" s="20">
        <v>185.28</v>
      </c>
      <c r="O11" s="20">
        <v>4.9000000000000004</v>
      </c>
      <c r="P11" s="20">
        <v>4.82</v>
      </c>
      <c r="Q11" s="1">
        <v>2689</v>
      </c>
      <c r="R11" s="1">
        <v>1605</v>
      </c>
      <c r="S11" s="1">
        <v>7410</v>
      </c>
      <c r="T11" s="1">
        <v>3.04</v>
      </c>
      <c r="U11" s="1">
        <v>2.4300000000000002</v>
      </c>
      <c r="V11" s="3">
        <f t="shared" si="3"/>
        <v>119.37104908019035</v>
      </c>
      <c r="W11" s="3">
        <f t="shared" si="4"/>
        <v>89.135469252428308</v>
      </c>
      <c r="X11" s="4">
        <f t="shared" si="0"/>
        <v>69.393548387096772</v>
      </c>
      <c r="Y11" s="4">
        <f t="shared" si="1"/>
        <v>50.39246467817896</v>
      </c>
      <c r="Z11" s="2">
        <f t="shared" si="2"/>
        <v>1.3676648229385211</v>
      </c>
      <c r="AA11" s="13">
        <v>2.9</v>
      </c>
      <c r="AB11" s="1">
        <v>50</v>
      </c>
    </row>
    <row r="12" spans="1:28" x14ac:dyDescent="0.25">
      <c r="A12" s="10">
        <v>42804</v>
      </c>
      <c r="B12" s="20">
        <v>0.21</v>
      </c>
      <c r="C12" s="20">
        <v>7.29</v>
      </c>
      <c r="D12" s="20">
        <v>0.03</v>
      </c>
      <c r="E12" s="20">
        <v>2.4900000000000002</v>
      </c>
      <c r="F12" s="20">
        <v>2.86</v>
      </c>
      <c r="G12" s="20">
        <v>0.44</v>
      </c>
      <c r="H12" s="20">
        <v>12.14</v>
      </c>
      <c r="I12" s="20">
        <v>10.23</v>
      </c>
      <c r="J12" s="20">
        <v>46.69</v>
      </c>
      <c r="K12" s="20">
        <v>8.26</v>
      </c>
      <c r="L12" s="20">
        <v>11.31</v>
      </c>
      <c r="M12" s="20">
        <v>0.04</v>
      </c>
      <c r="N12" s="20">
        <v>177.05</v>
      </c>
      <c r="O12" s="20">
        <v>5.04</v>
      </c>
      <c r="P12" s="20">
        <v>4.1900000000000004</v>
      </c>
      <c r="Q12" s="1">
        <v>2600</v>
      </c>
      <c r="R12" s="1">
        <v>1350</v>
      </c>
      <c r="S12" s="1">
        <v>6835</v>
      </c>
      <c r="T12" s="1">
        <v>3.14</v>
      </c>
      <c r="U12" s="1">
        <v>2.52</v>
      </c>
      <c r="V12" s="3">
        <f t="shared" si="3"/>
        <v>121.14491261258323</v>
      </c>
      <c r="W12" s="3">
        <f t="shared" si="4"/>
        <v>78.378095934789414</v>
      </c>
      <c r="X12" s="4">
        <f t="shared" si="0"/>
        <v>67.096774193548384</v>
      </c>
      <c r="Y12" s="4">
        <f t="shared" si="1"/>
        <v>42.3861852433281</v>
      </c>
      <c r="Z12" s="2">
        <f t="shared" si="2"/>
        <v>1.5721844293272864</v>
      </c>
      <c r="AA12" s="13">
        <v>2.8</v>
      </c>
      <c r="AB12" s="1">
        <v>50</v>
      </c>
    </row>
    <row r="13" spans="1:28" x14ac:dyDescent="0.25">
      <c r="A13" s="10">
        <v>42810</v>
      </c>
      <c r="B13" s="20">
        <v>0.38</v>
      </c>
      <c r="C13" s="20">
        <v>7.26</v>
      </c>
      <c r="D13" s="20">
        <v>0.03</v>
      </c>
      <c r="E13" s="20">
        <v>2.72</v>
      </c>
      <c r="F13" s="20">
        <v>3.04</v>
      </c>
      <c r="G13" s="20">
        <v>0.47</v>
      </c>
      <c r="H13" s="20">
        <v>11.8</v>
      </c>
      <c r="I13" s="20">
        <v>11.27</v>
      </c>
      <c r="J13" s="20">
        <v>49.36</v>
      </c>
      <c r="K13" s="20">
        <v>8.92</v>
      </c>
      <c r="L13" s="20">
        <v>12.92</v>
      </c>
      <c r="M13" s="20">
        <v>0.04</v>
      </c>
      <c r="N13" s="20">
        <v>185.68</v>
      </c>
      <c r="O13" s="20">
        <v>5.49</v>
      </c>
      <c r="P13" s="20">
        <v>4.42</v>
      </c>
      <c r="Q13" s="1">
        <v>2682</v>
      </c>
      <c r="R13" s="1">
        <v>1431</v>
      </c>
      <c r="S13" s="1">
        <v>6742</v>
      </c>
      <c r="T13" s="1">
        <v>3.165</v>
      </c>
      <c r="U13" s="1">
        <v>2.5750000000000002</v>
      </c>
      <c r="V13" s="3">
        <f t="shared" si="3"/>
        <v>125.68872217871699</v>
      </c>
      <c r="W13" s="3">
        <f t="shared" si="4"/>
        <v>82.427789282083324</v>
      </c>
      <c r="X13" s="4">
        <f t="shared" si="0"/>
        <v>69.212903225806457</v>
      </c>
      <c r="Y13" s="4">
        <f t="shared" si="1"/>
        <v>44.929356357927787</v>
      </c>
      <c r="Z13" s="2">
        <f t="shared" si="2"/>
        <v>1.5299704787575408</v>
      </c>
      <c r="AA13" s="13">
        <v>3.6</v>
      </c>
      <c r="AB13" s="1">
        <v>50</v>
      </c>
    </row>
    <row r="14" spans="1:28" x14ac:dyDescent="0.25">
      <c r="A14" s="10">
        <v>42815</v>
      </c>
      <c r="B14" s="20">
        <v>0.2</v>
      </c>
      <c r="C14" s="20">
        <v>7.23</v>
      </c>
      <c r="D14" s="20">
        <v>0.03</v>
      </c>
      <c r="E14" s="20">
        <v>0.81</v>
      </c>
      <c r="F14" s="20">
        <v>0.6</v>
      </c>
      <c r="G14" s="20">
        <v>0.49</v>
      </c>
      <c r="H14" s="20">
        <v>10.25</v>
      </c>
      <c r="I14" s="20">
        <v>8.6999999999999993</v>
      </c>
      <c r="J14" s="20">
        <v>9.6999999999999993</v>
      </c>
      <c r="K14" s="20">
        <v>2.4300000000000002</v>
      </c>
      <c r="L14" s="20">
        <v>18.07</v>
      </c>
      <c r="M14" s="20">
        <v>0.04</v>
      </c>
      <c r="N14" s="20">
        <v>90</v>
      </c>
      <c r="O14" s="20">
        <v>4.9000000000000004</v>
      </c>
      <c r="P14" s="20">
        <v>4.1100000000000003</v>
      </c>
      <c r="Q14" s="1">
        <v>2494</v>
      </c>
      <c r="R14" s="1">
        <v>1642</v>
      </c>
      <c r="S14" s="1">
        <v>7599</v>
      </c>
      <c r="T14" s="1">
        <v>3.387</v>
      </c>
      <c r="U14" s="1">
        <v>2.7989999999999999</v>
      </c>
      <c r="V14" s="3">
        <f t="shared" si="3"/>
        <v>96.900230023428961</v>
      </c>
      <c r="W14" s="3">
        <f t="shared" si="4"/>
        <v>77.19937952761785</v>
      </c>
      <c r="X14" s="4">
        <f t="shared" si="0"/>
        <v>64.361290322580643</v>
      </c>
      <c r="Y14" s="4">
        <f t="shared" si="1"/>
        <v>51.554160125588695</v>
      </c>
      <c r="Z14" s="2">
        <f t="shared" si="2"/>
        <v>1.2399015635486839</v>
      </c>
      <c r="AA14" s="14">
        <v>0.87</v>
      </c>
      <c r="AB14" s="15">
        <v>200</v>
      </c>
    </row>
    <row r="15" spans="1:28" x14ac:dyDescent="0.25">
      <c r="A15" s="10">
        <v>42820</v>
      </c>
      <c r="B15" s="20">
        <v>0.41</v>
      </c>
      <c r="C15" s="20">
        <v>7.2</v>
      </c>
      <c r="D15" s="20">
        <v>0.04</v>
      </c>
      <c r="E15" s="20">
        <v>1.83</v>
      </c>
      <c r="F15" s="20">
        <v>1.97</v>
      </c>
      <c r="G15" s="20">
        <v>0.52</v>
      </c>
      <c r="H15" s="20">
        <v>9.7899999999999991</v>
      </c>
      <c r="I15" s="20">
        <v>8.9499999999999993</v>
      </c>
      <c r="J15" s="20">
        <v>31.69</v>
      </c>
      <c r="K15" s="20">
        <v>6.27</v>
      </c>
      <c r="L15" s="20">
        <v>12.2</v>
      </c>
      <c r="M15" s="20">
        <v>0.05</v>
      </c>
      <c r="N15" s="20">
        <v>135.05000000000001</v>
      </c>
      <c r="O15" s="20">
        <v>5.74</v>
      </c>
      <c r="P15" s="20">
        <v>4.2</v>
      </c>
      <c r="Q15" s="1">
        <v>2751</v>
      </c>
      <c r="R15" s="1">
        <v>1458</v>
      </c>
      <c r="S15" s="1">
        <v>7000</v>
      </c>
      <c r="T15" s="1">
        <v>3.2170000000000001</v>
      </c>
      <c r="U15" s="1">
        <v>2.637</v>
      </c>
      <c r="V15" s="3">
        <f t="shared" si="3"/>
        <v>122.16350637239664</v>
      </c>
      <c r="W15" s="3">
        <f t="shared" si="4"/>
        <v>78.98586055582642</v>
      </c>
      <c r="X15" s="4">
        <f t="shared" si="0"/>
        <v>70.99354838709678</v>
      </c>
      <c r="Y15" s="4">
        <f t="shared" si="1"/>
        <v>45.777080062794347</v>
      </c>
      <c r="Z15" s="2">
        <f t="shared" si="2"/>
        <v>1.5402704291593181</v>
      </c>
      <c r="AA15" s="13">
        <v>3.29</v>
      </c>
      <c r="AB15" s="13">
        <v>128</v>
      </c>
    </row>
    <row r="16" spans="1:28" x14ac:dyDescent="0.25">
      <c r="A16" s="10">
        <v>42824</v>
      </c>
      <c r="B16" s="20">
        <v>0.25</v>
      </c>
      <c r="C16" s="20">
        <v>7.18</v>
      </c>
      <c r="D16" s="20">
        <v>0.03</v>
      </c>
      <c r="E16" s="20">
        <v>1.64</v>
      </c>
      <c r="F16" s="20">
        <v>2.02</v>
      </c>
      <c r="G16" s="20">
        <v>0.54</v>
      </c>
      <c r="H16" s="20">
        <v>8.1</v>
      </c>
      <c r="I16" s="20">
        <v>8</v>
      </c>
      <c r="J16" s="20">
        <v>32.299999999999997</v>
      </c>
      <c r="K16" s="20">
        <v>6.49</v>
      </c>
      <c r="L16" s="20">
        <v>5.33</v>
      </c>
      <c r="M16" s="20">
        <v>0.04</v>
      </c>
      <c r="N16" s="20">
        <v>133.29</v>
      </c>
      <c r="O16" s="20">
        <v>5.48</v>
      </c>
      <c r="P16" s="20">
        <v>4</v>
      </c>
      <c r="Q16" s="1">
        <v>2947</v>
      </c>
      <c r="R16" s="1">
        <v>1377</v>
      </c>
      <c r="S16" s="1">
        <v>7375</v>
      </c>
      <c r="T16" s="1">
        <v>3.17</v>
      </c>
      <c r="U16" s="1">
        <v>2.61</v>
      </c>
      <c r="V16" s="3">
        <f t="shared" si="3"/>
        <v>126.05464364005775</v>
      </c>
      <c r="W16" s="3">
        <f t="shared" si="4"/>
        <v>71.537112799532437</v>
      </c>
      <c r="X16" s="4">
        <f t="shared" si="0"/>
        <v>76.051612903225802</v>
      </c>
      <c r="Y16" s="4">
        <f t="shared" si="1"/>
        <v>43.23390894819466</v>
      </c>
      <c r="Z16" s="2">
        <f t="shared" si="2"/>
        <v>1.7470691980495903</v>
      </c>
      <c r="AA16" s="13">
        <v>3.35</v>
      </c>
      <c r="AB16" s="13">
        <v>180</v>
      </c>
    </row>
    <row r="17" spans="1:28" x14ac:dyDescent="0.25">
      <c r="A17" s="10">
        <v>42830</v>
      </c>
      <c r="B17" s="20">
        <v>0.2</v>
      </c>
      <c r="C17" s="20">
        <v>7.15</v>
      </c>
      <c r="D17" s="20">
        <v>0.03</v>
      </c>
      <c r="E17" s="20">
        <v>0.55000000000000004</v>
      </c>
      <c r="F17" s="20">
        <v>0.6</v>
      </c>
      <c r="G17" s="20">
        <v>0.59</v>
      </c>
      <c r="H17" s="20">
        <v>6.04</v>
      </c>
      <c r="I17" s="20">
        <v>8</v>
      </c>
      <c r="J17" s="20">
        <v>9.56</v>
      </c>
      <c r="K17" s="20">
        <v>2.5299999999999998</v>
      </c>
      <c r="L17" s="20">
        <v>8.77</v>
      </c>
      <c r="M17" s="20">
        <v>0.04</v>
      </c>
      <c r="N17" s="20">
        <v>90</v>
      </c>
      <c r="O17" s="20">
        <v>4.91</v>
      </c>
      <c r="P17" s="20">
        <v>4</v>
      </c>
      <c r="Q17" s="1">
        <v>2838</v>
      </c>
      <c r="R17" s="1">
        <v>1305</v>
      </c>
      <c r="S17" s="1">
        <v>8702</v>
      </c>
      <c r="T17" s="1">
        <v>2.97</v>
      </c>
      <c r="U17" s="1">
        <v>2.37</v>
      </c>
      <c r="V17" s="3">
        <f t="shared" si="3"/>
        <v>109.80872851707142</v>
      </c>
      <c r="W17" s="3">
        <f t="shared" si="4"/>
        <v>63.276592897311538</v>
      </c>
      <c r="X17" s="5">
        <f t="shared" ref="X17:X80" si="5">Q17/40.57</f>
        <v>69.95316736504806</v>
      </c>
      <c r="Y17" s="5">
        <f t="shared" si="1"/>
        <v>40.973312401883831</v>
      </c>
      <c r="Z17" s="2">
        <f t="shared" si="2"/>
        <v>1.7752756274923762</v>
      </c>
      <c r="AA17" s="13">
        <v>3.3</v>
      </c>
      <c r="AB17" s="1">
        <v>87</v>
      </c>
    </row>
    <row r="18" spans="1:28" x14ac:dyDescent="0.25">
      <c r="A18" s="10">
        <v>42834</v>
      </c>
      <c r="B18" s="20">
        <v>0.2</v>
      </c>
      <c r="C18" s="20">
        <v>7.13</v>
      </c>
      <c r="D18" s="20">
        <v>0.03</v>
      </c>
      <c r="E18" s="20">
        <v>0.76</v>
      </c>
      <c r="F18" s="20">
        <v>0.6</v>
      </c>
      <c r="G18" s="20">
        <v>0.62</v>
      </c>
      <c r="H18" s="20">
        <v>7.74</v>
      </c>
      <c r="I18" s="20">
        <v>8</v>
      </c>
      <c r="J18" s="20">
        <v>9.52</v>
      </c>
      <c r="K18" s="20">
        <v>2.56</v>
      </c>
      <c r="L18" s="20">
        <v>14.55</v>
      </c>
      <c r="M18" s="20">
        <v>0.04</v>
      </c>
      <c r="N18" s="20">
        <v>90</v>
      </c>
      <c r="O18" s="20">
        <v>5.8</v>
      </c>
      <c r="P18" s="20">
        <v>4.13</v>
      </c>
      <c r="Q18" s="1">
        <v>2838</v>
      </c>
      <c r="R18" s="1">
        <v>1553</v>
      </c>
      <c r="S18" s="1">
        <v>8648</v>
      </c>
      <c r="T18" s="1">
        <v>2.88</v>
      </c>
      <c r="U18" s="1">
        <v>2.2999999999999998</v>
      </c>
      <c r="V18" s="3">
        <f t="shared" si="3"/>
        <v>113.94734813444343</v>
      </c>
      <c r="W18" s="3">
        <f t="shared" si="4"/>
        <v>78.07786670956844</v>
      </c>
      <c r="X18" s="5">
        <f t="shared" si="5"/>
        <v>69.95316736504806</v>
      </c>
      <c r="Y18" s="5">
        <f t="shared" si="1"/>
        <v>48.759811616954472</v>
      </c>
      <c r="Z18" s="2">
        <f t="shared" si="2"/>
        <v>1.4917802278670644</v>
      </c>
      <c r="AA18" s="13">
        <v>1.28</v>
      </c>
      <c r="AB18" s="13">
        <v>180</v>
      </c>
    </row>
    <row r="19" spans="1:28" x14ac:dyDescent="0.25">
      <c r="A19" s="10">
        <v>42838</v>
      </c>
      <c r="B19" s="20">
        <v>0.2</v>
      </c>
      <c r="C19" s="20">
        <v>7.1</v>
      </c>
      <c r="D19" s="20">
        <v>0.03</v>
      </c>
      <c r="E19" s="20">
        <v>0.55000000000000004</v>
      </c>
      <c r="F19" s="20">
        <v>0.6</v>
      </c>
      <c r="G19" s="20">
        <v>0.66</v>
      </c>
      <c r="H19" s="20">
        <v>6</v>
      </c>
      <c r="I19" s="20">
        <v>8</v>
      </c>
      <c r="J19" s="20">
        <v>9.48</v>
      </c>
      <c r="K19" s="20">
        <v>2.59</v>
      </c>
      <c r="L19" s="20">
        <v>8.76</v>
      </c>
      <c r="M19" s="20">
        <v>0.04</v>
      </c>
      <c r="N19" s="20">
        <v>90</v>
      </c>
      <c r="O19" s="20">
        <v>5.7</v>
      </c>
      <c r="P19" s="20">
        <v>4</v>
      </c>
      <c r="Q19" s="1">
        <v>2838</v>
      </c>
      <c r="R19" s="1">
        <v>1553</v>
      </c>
      <c r="S19" s="1">
        <v>9426</v>
      </c>
      <c r="T19" s="1">
        <v>3.12</v>
      </c>
      <c r="U19" s="1">
        <v>2.56</v>
      </c>
      <c r="V19" s="1">
        <f t="shared" si="3"/>
        <v>96.500677340906492</v>
      </c>
      <c r="W19" s="1">
        <f t="shared" si="4"/>
        <v>64.35822459155527</v>
      </c>
      <c r="X19" s="5">
        <f t="shared" si="5"/>
        <v>69.95316736504806</v>
      </c>
      <c r="Y19" s="5">
        <f t="shared" si="1"/>
        <v>48.759811616954472</v>
      </c>
      <c r="Z19" s="2">
        <f t="shared" si="2"/>
        <v>1.4917802278670644</v>
      </c>
      <c r="AA19" s="13">
        <v>4</v>
      </c>
      <c r="AB19" s="16">
        <v>125</v>
      </c>
    </row>
    <row r="20" spans="1:28" x14ac:dyDescent="0.25">
      <c r="A20" s="10">
        <v>42842</v>
      </c>
      <c r="B20" s="20">
        <v>0.26</v>
      </c>
      <c r="C20" s="20">
        <v>7.08</v>
      </c>
      <c r="D20" s="20">
        <v>0.03</v>
      </c>
      <c r="E20" s="20">
        <v>0.55000000000000004</v>
      </c>
      <c r="F20" s="20">
        <v>0.6</v>
      </c>
      <c r="G20" s="20">
        <v>0.69</v>
      </c>
      <c r="H20" s="20">
        <v>6</v>
      </c>
      <c r="I20" s="20">
        <v>8</v>
      </c>
      <c r="J20" s="20">
        <v>9.44</v>
      </c>
      <c r="K20" s="20">
        <v>2.62</v>
      </c>
      <c r="L20" s="20">
        <v>8.76</v>
      </c>
      <c r="M20" s="20">
        <v>0.04</v>
      </c>
      <c r="N20" s="20">
        <v>90</v>
      </c>
      <c r="O20" s="20">
        <v>6.17</v>
      </c>
      <c r="P20" s="20">
        <v>4</v>
      </c>
      <c r="Q20" s="1">
        <v>2838</v>
      </c>
      <c r="R20" s="1">
        <v>1537</v>
      </c>
      <c r="S20" s="1">
        <v>9276</v>
      </c>
      <c r="T20" s="1">
        <v>3.0579999999999998</v>
      </c>
      <c r="U20" s="1">
        <v>2.4940000000000002</v>
      </c>
      <c r="V20" s="3">
        <f t="shared" si="3"/>
        <v>100.04932664476441</v>
      </c>
      <c r="W20" s="3">
        <f t="shared" si="4"/>
        <v>66.438019595455131</v>
      </c>
      <c r="X20" s="5">
        <f t="shared" si="5"/>
        <v>69.95316736504806</v>
      </c>
      <c r="Y20" s="5">
        <f t="shared" si="1"/>
        <v>48.257456828885395</v>
      </c>
      <c r="Z20" s="2">
        <f t="shared" si="2"/>
        <v>1.5073094950406969</v>
      </c>
      <c r="AA20" s="13">
        <v>2.44</v>
      </c>
      <c r="AB20" s="13">
        <v>150</v>
      </c>
    </row>
    <row r="21" spans="1:28" x14ac:dyDescent="0.25">
      <c r="A21" s="10">
        <v>42846</v>
      </c>
      <c r="B21" s="20">
        <v>0.47</v>
      </c>
      <c r="C21" s="20">
        <v>7.06</v>
      </c>
      <c r="D21" s="20">
        <v>0.04</v>
      </c>
      <c r="E21" s="20">
        <v>0.61</v>
      </c>
      <c r="F21" s="20">
        <v>0.6</v>
      </c>
      <c r="G21" s="20">
        <v>0.73</v>
      </c>
      <c r="H21" s="20">
        <v>6</v>
      </c>
      <c r="I21" s="20">
        <v>8</v>
      </c>
      <c r="J21" s="20">
        <v>9.4</v>
      </c>
      <c r="K21" s="20">
        <v>2.64</v>
      </c>
      <c r="L21" s="20">
        <v>9.91</v>
      </c>
      <c r="M21" s="20">
        <v>0.05</v>
      </c>
      <c r="N21" s="20">
        <v>90</v>
      </c>
      <c r="O21" s="20">
        <v>6.86</v>
      </c>
      <c r="P21" s="20">
        <v>4</v>
      </c>
      <c r="Q21" s="1">
        <v>2838</v>
      </c>
      <c r="R21" s="1">
        <v>1684</v>
      </c>
      <c r="S21" s="1">
        <v>9948</v>
      </c>
      <c r="T21" s="1">
        <v>2.8370000000000002</v>
      </c>
      <c r="U21" s="1">
        <v>2.2599999999999998</v>
      </c>
      <c r="V21" s="3">
        <f t="shared" si="3"/>
        <v>100.55815088654872</v>
      </c>
      <c r="W21" s="3">
        <f t="shared" si="4"/>
        <v>74.902768733698423</v>
      </c>
      <c r="X21" s="5">
        <f t="shared" si="5"/>
        <v>69.95316736504806</v>
      </c>
      <c r="Y21" s="5">
        <f t="shared" si="1"/>
        <v>52.872841444270016</v>
      </c>
      <c r="Z21" s="2">
        <f t="shared" si="2"/>
        <v>1.3757331911386883</v>
      </c>
      <c r="AA21" s="13">
        <v>1.1399999999999999</v>
      </c>
      <c r="AB21" s="13">
        <v>120</v>
      </c>
    </row>
    <row r="22" spans="1:28" x14ac:dyDescent="0.25">
      <c r="A22" s="10">
        <v>42851</v>
      </c>
      <c r="B22" s="20">
        <v>0.69</v>
      </c>
      <c r="C22" s="20">
        <v>7.04</v>
      </c>
      <c r="D22" s="20">
        <v>0.05</v>
      </c>
      <c r="E22" s="20">
        <v>0.78</v>
      </c>
      <c r="F22" s="20">
        <v>0.6</v>
      </c>
      <c r="G22" s="20">
        <v>0.78</v>
      </c>
      <c r="H22" s="20">
        <v>6.38</v>
      </c>
      <c r="I22" s="20">
        <v>8</v>
      </c>
      <c r="J22" s="20">
        <v>9.36</v>
      </c>
      <c r="K22" s="20">
        <v>2.67</v>
      </c>
      <c r="L22" s="20">
        <v>13.78</v>
      </c>
      <c r="M22" s="20">
        <v>0.06</v>
      </c>
      <c r="N22" s="20">
        <v>90</v>
      </c>
      <c r="O22" s="20">
        <v>7.57</v>
      </c>
      <c r="P22" s="20">
        <v>4.34</v>
      </c>
      <c r="Q22" s="11">
        <v>2838</v>
      </c>
      <c r="R22" s="11">
        <v>1600</v>
      </c>
      <c r="S22" s="17">
        <v>8580</v>
      </c>
      <c r="T22" s="11">
        <v>2.8460000000000001</v>
      </c>
      <c r="U22" s="11">
        <v>2.2810000000000001</v>
      </c>
      <c r="V22" s="3">
        <f t="shared" si="3"/>
        <v>116.22249851343315</v>
      </c>
      <c r="W22" s="3">
        <f t="shared" si="4"/>
        <v>81.753698588420207</v>
      </c>
      <c r="X22" s="5">
        <f t="shared" si="5"/>
        <v>69.95316736504806</v>
      </c>
      <c r="Y22" s="5">
        <f t="shared" si="1"/>
        <v>50.235478806907373</v>
      </c>
      <c r="Z22" s="2">
        <f t="shared" si="2"/>
        <v>1.4479591836734693</v>
      </c>
      <c r="AA22" s="13">
        <v>1.67</v>
      </c>
      <c r="AB22" s="1">
        <v>125</v>
      </c>
    </row>
    <row r="23" spans="1:28" x14ac:dyDescent="0.25">
      <c r="A23" s="10">
        <v>42855</v>
      </c>
      <c r="B23" s="20">
        <v>3.43</v>
      </c>
      <c r="C23" s="20">
        <v>7.02</v>
      </c>
      <c r="D23" s="20">
        <v>0.18</v>
      </c>
      <c r="E23" s="20">
        <v>4.43</v>
      </c>
      <c r="F23" s="20">
        <v>4.16</v>
      </c>
      <c r="G23" s="20">
        <v>2.16</v>
      </c>
      <c r="H23" s="20">
        <v>12.04</v>
      </c>
      <c r="I23" s="20">
        <v>23.19</v>
      </c>
      <c r="J23" s="20">
        <v>64.75</v>
      </c>
      <c r="K23" s="20">
        <v>13.94</v>
      </c>
      <c r="L23" s="20">
        <v>34.03</v>
      </c>
      <c r="M23" s="20">
        <v>0.19</v>
      </c>
      <c r="N23" s="20">
        <v>271.64999999999998</v>
      </c>
      <c r="O23" s="20">
        <v>12.78</v>
      </c>
      <c r="P23" s="20">
        <v>6.65</v>
      </c>
      <c r="Q23" s="11">
        <v>2838</v>
      </c>
      <c r="R23" s="11">
        <v>1407</v>
      </c>
      <c r="S23" s="17">
        <v>3878</v>
      </c>
      <c r="T23" s="11">
        <v>2.52</v>
      </c>
      <c r="U23" s="11">
        <v>1.91</v>
      </c>
      <c r="V23" s="3">
        <f t="shared" si="3"/>
        <v>290.40497065252094</v>
      </c>
      <c r="W23" s="3">
        <f t="shared" si="4"/>
        <v>189.9559604589185</v>
      </c>
      <c r="X23" s="5">
        <f t="shared" si="5"/>
        <v>69.95316736504806</v>
      </c>
      <c r="Y23" s="5">
        <f t="shared" si="1"/>
        <v>44.175824175824175</v>
      </c>
      <c r="Z23" s="2">
        <f t="shared" si="2"/>
        <v>1.6465776075888778</v>
      </c>
      <c r="AA23" s="18">
        <v>2.17</v>
      </c>
      <c r="AB23" s="18">
        <v>155</v>
      </c>
    </row>
    <row r="24" spans="1:28" x14ac:dyDescent="0.25">
      <c r="A24" s="10">
        <v>42858</v>
      </c>
      <c r="B24" s="20">
        <v>1.23</v>
      </c>
      <c r="C24" s="20">
        <v>7.01</v>
      </c>
      <c r="D24" s="20">
        <v>0.08</v>
      </c>
      <c r="E24" s="20">
        <v>0.9</v>
      </c>
      <c r="F24" s="20">
        <v>0.6</v>
      </c>
      <c r="G24" s="20">
        <v>1.89</v>
      </c>
      <c r="H24" s="20">
        <v>11.82</v>
      </c>
      <c r="I24" s="20">
        <v>23.03</v>
      </c>
      <c r="J24" s="20">
        <v>9.31</v>
      </c>
      <c r="K24" s="20">
        <v>2.71</v>
      </c>
      <c r="L24" s="20">
        <v>29.79</v>
      </c>
      <c r="M24" s="20">
        <v>0.08</v>
      </c>
      <c r="N24" s="20">
        <v>111.47</v>
      </c>
      <c r="O24" s="20">
        <v>9.51</v>
      </c>
      <c r="P24" s="20">
        <v>6.67</v>
      </c>
      <c r="Q24" s="1">
        <v>2784</v>
      </c>
      <c r="R24" s="19">
        <v>3186</v>
      </c>
      <c r="S24" s="1">
        <v>9246</v>
      </c>
      <c r="T24" s="1">
        <v>2.6749999999999998</v>
      </c>
      <c r="U24" s="1">
        <v>2.0649999999999999</v>
      </c>
      <c r="V24" s="3">
        <f t="shared" si="3"/>
        <v>112.5619363564138</v>
      </c>
      <c r="W24" s="3">
        <f t="shared" si="4"/>
        <v>166.86752572541025</v>
      </c>
      <c r="X24" s="5">
        <f t="shared" si="5"/>
        <v>68.6221345822036</v>
      </c>
      <c r="Y24" s="5">
        <f t="shared" si="1"/>
        <v>100.03139717425431</v>
      </c>
      <c r="Z24" s="2">
        <f t="shared" si="2"/>
        <v>0.71332487797378841</v>
      </c>
      <c r="AA24" s="13">
        <v>1.64</v>
      </c>
      <c r="AB24" s="13">
        <v>140</v>
      </c>
    </row>
    <row r="25" spans="1:28" x14ac:dyDescent="0.25">
      <c r="A25" s="10">
        <v>42866</v>
      </c>
      <c r="B25" s="20">
        <v>1.03</v>
      </c>
      <c r="C25" s="20">
        <v>7</v>
      </c>
      <c r="D25" s="20">
        <v>7.0000000000000007E-2</v>
      </c>
      <c r="E25" s="20">
        <v>0.83</v>
      </c>
      <c r="F25" s="20">
        <v>0.6</v>
      </c>
      <c r="G25" s="20">
        <v>0.91</v>
      </c>
      <c r="H25" s="20">
        <v>6</v>
      </c>
      <c r="I25" s="20">
        <v>8.19</v>
      </c>
      <c r="J25" s="20">
        <v>9.2799999999999994</v>
      </c>
      <c r="K25" s="20">
        <v>2.73</v>
      </c>
      <c r="L25" s="20">
        <v>14.72</v>
      </c>
      <c r="M25" s="20">
        <v>0.08</v>
      </c>
      <c r="N25" s="20">
        <v>90</v>
      </c>
      <c r="O25" s="20">
        <v>8.59</v>
      </c>
      <c r="P25" s="20">
        <v>4.6399999999999997</v>
      </c>
      <c r="Q25" s="1">
        <v>2432</v>
      </c>
      <c r="R25" s="19">
        <f>1308+540</f>
        <v>1848</v>
      </c>
      <c r="S25" s="1">
        <v>10259</v>
      </c>
      <c r="T25" s="1">
        <v>2.66</v>
      </c>
      <c r="U25" s="1">
        <v>2.11</v>
      </c>
      <c r="V25" s="3">
        <f t="shared" si="3"/>
        <v>89.120354253408152</v>
      </c>
      <c r="W25" s="3">
        <f t="shared" si="4"/>
        <v>85.371808547251774</v>
      </c>
      <c r="X25" s="5">
        <f t="shared" si="5"/>
        <v>59.945772738476705</v>
      </c>
      <c r="Y25" s="5">
        <f t="shared" si="1"/>
        <v>58.021978021978022</v>
      </c>
      <c r="Z25" s="2">
        <f t="shared" si="2"/>
        <v>1.074299849810054</v>
      </c>
      <c r="AA25" s="13">
        <v>1.85</v>
      </c>
      <c r="AB25" s="13">
        <v>120</v>
      </c>
    </row>
    <row r="26" spans="1:28" x14ac:dyDescent="0.25">
      <c r="A26" s="10">
        <v>42874</v>
      </c>
      <c r="B26" s="20">
        <v>1.5</v>
      </c>
      <c r="C26" s="20">
        <v>7.6</v>
      </c>
      <c r="D26" s="20">
        <v>0.19</v>
      </c>
      <c r="E26" s="20">
        <v>1.62</v>
      </c>
      <c r="F26" s="20">
        <v>5.0999999999999996</v>
      </c>
      <c r="G26" s="20">
        <v>3.88</v>
      </c>
      <c r="H26" s="20">
        <v>46.6</v>
      </c>
      <c r="I26" s="20">
        <v>66.8</v>
      </c>
      <c r="J26" s="20">
        <v>52.2</v>
      </c>
      <c r="K26" s="20">
        <v>42.6</v>
      </c>
      <c r="L26" s="20">
        <v>18</v>
      </c>
      <c r="M26" s="20">
        <v>0.14000000000000001</v>
      </c>
      <c r="N26" s="20">
        <v>251.9</v>
      </c>
      <c r="O26" s="20">
        <v>3.53</v>
      </c>
      <c r="P26" s="20">
        <v>11.2</v>
      </c>
      <c r="Q26" s="1">
        <v>2432</v>
      </c>
      <c r="R26" s="19">
        <f>1376+531</f>
        <v>1907</v>
      </c>
      <c r="S26" s="1">
        <v>9253</v>
      </c>
      <c r="T26" s="1">
        <f t="shared" ref="T26:T34" si="6">Q26*1000/(S26*V26)</f>
        <v>2.4563894912587076</v>
      </c>
      <c r="U26" s="1">
        <f t="shared" ref="U26:U34" si="7">R26*1000/(S26*W26)</f>
        <v>1.823852393244382</v>
      </c>
      <c r="V26" s="1">
        <v>107</v>
      </c>
      <c r="W26" s="1">
        <v>113</v>
      </c>
      <c r="X26" s="5">
        <f t="shared" si="5"/>
        <v>59.945772738476705</v>
      </c>
      <c r="Y26" s="5">
        <f t="shared" si="1"/>
        <v>59.874411302982729</v>
      </c>
      <c r="Z26" s="2">
        <f t="shared" si="2"/>
        <v>1.0410624658882954</v>
      </c>
      <c r="AA26" s="13">
        <v>6.5</v>
      </c>
      <c r="AB26" s="1">
        <v>40</v>
      </c>
    </row>
    <row r="27" spans="1:28" x14ac:dyDescent="0.25">
      <c r="A27" s="10">
        <v>42879</v>
      </c>
      <c r="B27" s="20">
        <v>0.92</v>
      </c>
      <c r="C27" s="20">
        <v>7</v>
      </c>
      <c r="D27" s="20">
        <v>7.0000000000000007E-2</v>
      </c>
      <c r="E27" s="20">
        <v>0.62</v>
      </c>
      <c r="F27" s="20">
        <v>0.6</v>
      </c>
      <c r="G27" s="20">
        <v>0.86</v>
      </c>
      <c r="H27" s="20">
        <v>6</v>
      </c>
      <c r="I27" s="20">
        <v>8</v>
      </c>
      <c r="J27" s="20">
        <v>9.2899999999999991</v>
      </c>
      <c r="K27" s="20">
        <v>2.73</v>
      </c>
      <c r="L27" s="20">
        <v>9.91</v>
      </c>
      <c r="M27" s="20">
        <v>7.0000000000000007E-2</v>
      </c>
      <c r="N27" s="20">
        <v>90</v>
      </c>
      <c r="O27" s="20">
        <v>8.14</v>
      </c>
      <c r="P27" s="20">
        <v>4.3499999999999996</v>
      </c>
      <c r="Q27" s="1">
        <v>2432</v>
      </c>
      <c r="R27" s="1">
        <v>1398</v>
      </c>
      <c r="S27" s="1">
        <v>8269</v>
      </c>
      <c r="T27" s="1">
        <f t="shared" si="6"/>
        <v>2.8010526982591317</v>
      </c>
      <c r="U27" s="1">
        <f t="shared" si="7"/>
        <v>2.1956517300573415</v>
      </c>
      <c r="V27" s="1">
        <v>105</v>
      </c>
      <c r="W27" s="1">
        <v>77</v>
      </c>
      <c r="X27" s="5">
        <f t="shared" si="5"/>
        <v>59.945772738476705</v>
      </c>
      <c r="Y27" s="5">
        <f t="shared" si="1"/>
        <v>43.893249607535317</v>
      </c>
      <c r="Z27" s="2">
        <f t="shared" si="2"/>
        <v>1.4201045224956936</v>
      </c>
      <c r="AA27" s="13">
        <v>3.93</v>
      </c>
      <c r="AB27" s="1">
        <v>72</v>
      </c>
    </row>
    <row r="28" spans="1:28" x14ac:dyDescent="0.25">
      <c r="A28" s="10">
        <v>42885</v>
      </c>
      <c r="B28" s="20">
        <v>0.83</v>
      </c>
      <c r="C28" s="20">
        <v>7.01</v>
      </c>
      <c r="D28" s="20">
        <v>0.06</v>
      </c>
      <c r="E28" s="20">
        <v>0.86</v>
      </c>
      <c r="F28" s="20">
        <v>0.6</v>
      </c>
      <c r="G28" s="20">
        <v>0.87</v>
      </c>
      <c r="H28" s="20">
        <v>6.08</v>
      </c>
      <c r="I28" s="20">
        <v>8.27</v>
      </c>
      <c r="J28" s="20">
        <v>9.32</v>
      </c>
      <c r="K28" s="20">
        <v>2.7</v>
      </c>
      <c r="L28" s="20">
        <v>15.42</v>
      </c>
      <c r="M28" s="20">
        <v>7.0000000000000007E-2</v>
      </c>
      <c r="N28" s="20">
        <v>90</v>
      </c>
      <c r="O28" s="20">
        <v>7.94</v>
      </c>
      <c r="P28" s="20">
        <v>4.9400000000000004</v>
      </c>
      <c r="Q28" s="1">
        <v>2432</v>
      </c>
      <c r="R28" s="1">
        <v>1458</v>
      </c>
      <c r="S28" s="1">
        <v>8291</v>
      </c>
      <c r="T28" s="1">
        <f t="shared" si="6"/>
        <v>2.8204818941762615</v>
      </c>
      <c r="U28" s="1">
        <f t="shared" si="7"/>
        <v>2.0688627640176804</v>
      </c>
      <c r="V28" s="1">
        <v>104</v>
      </c>
      <c r="W28" s="1">
        <v>85</v>
      </c>
      <c r="X28" s="5">
        <f t="shared" si="5"/>
        <v>59.945772738476705</v>
      </c>
      <c r="Y28" s="5">
        <f t="shared" si="1"/>
        <v>45.777080062794347</v>
      </c>
      <c r="Z28" s="2">
        <f t="shared" si="2"/>
        <v>1.3616640071666526</v>
      </c>
      <c r="AA28" s="13">
        <v>2.59</v>
      </c>
      <c r="AB28" s="13">
        <v>100</v>
      </c>
    </row>
    <row r="29" spans="1:28" x14ac:dyDescent="0.25">
      <c r="A29" s="10">
        <v>42889</v>
      </c>
      <c r="B29" s="20">
        <v>1.48</v>
      </c>
      <c r="C29" s="20">
        <v>7.02</v>
      </c>
      <c r="D29" s="20">
        <v>0.09</v>
      </c>
      <c r="E29" s="20">
        <v>1.31</v>
      </c>
      <c r="F29" s="20">
        <v>1.01</v>
      </c>
      <c r="G29" s="20">
        <v>1.1200000000000001</v>
      </c>
      <c r="H29" s="20">
        <v>9.6</v>
      </c>
      <c r="I29" s="20">
        <v>17.27</v>
      </c>
      <c r="J29" s="20">
        <v>15.75</v>
      </c>
      <c r="K29" s="20">
        <v>3.97</v>
      </c>
      <c r="L29" s="20">
        <v>24.9</v>
      </c>
      <c r="M29" s="20">
        <v>0.09</v>
      </c>
      <c r="N29" s="20">
        <v>107.73</v>
      </c>
      <c r="O29" s="20">
        <v>9.2200000000000006</v>
      </c>
      <c r="P29" s="20">
        <v>6.31</v>
      </c>
      <c r="Q29" s="1">
        <v>2432</v>
      </c>
      <c r="R29" s="1">
        <v>1485</v>
      </c>
      <c r="S29" s="1">
        <v>7107</v>
      </c>
      <c r="T29" s="1">
        <f t="shared" si="6"/>
        <v>2.5924078266838926</v>
      </c>
      <c r="U29" s="1">
        <f t="shared" si="7"/>
        <v>1.9527936784715345</v>
      </c>
      <c r="V29" s="1">
        <v>132</v>
      </c>
      <c r="W29" s="1">
        <v>107</v>
      </c>
      <c r="X29" s="5">
        <f t="shared" si="5"/>
        <v>59.945772738476705</v>
      </c>
      <c r="Y29" s="5">
        <f t="shared" si="1"/>
        <v>46.624803767660907</v>
      </c>
      <c r="Z29" s="2">
        <f t="shared" si="2"/>
        <v>1.3369064797636225</v>
      </c>
      <c r="AA29" s="13">
        <v>3.16</v>
      </c>
      <c r="AB29" s="13">
        <v>100</v>
      </c>
    </row>
    <row r="30" spans="1:28" x14ac:dyDescent="0.25">
      <c r="A30" s="10">
        <v>42892</v>
      </c>
      <c r="B30" s="20">
        <v>0.43</v>
      </c>
      <c r="C30" s="20">
        <v>7.04</v>
      </c>
      <c r="D30" s="20">
        <v>0.04</v>
      </c>
      <c r="E30" s="20">
        <v>0.59</v>
      </c>
      <c r="F30" s="20">
        <v>0.6</v>
      </c>
      <c r="G30" s="20">
        <v>0.78</v>
      </c>
      <c r="H30" s="20">
        <v>6</v>
      </c>
      <c r="I30" s="20">
        <v>8</v>
      </c>
      <c r="J30" s="20">
        <v>9.3699999999999992</v>
      </c>
      <c r="K30" s="20">
        <v>2.67</v>
      </c>
      <c r="L30" s="20">
        <v>9.5</v>
      </c>
      <c r="M30" s="20">
        <v>0.05</v>
      </c>
      <c r="N30" s="20">
        <v>90</v>
      </c>
      <c r="O30" s="20">
        <v>6.74</v>
      </c>
      <c r="P30" s="20">
        <v>4.49</v>
      </c>
      <c r="Q30" s="1">
        <v>2635</v>
      </c>
      <c r="R30" s="1">
        <v>1415</v>
      </c>
      <c r="S30" s="1">
        <v>9664</v>
      </c>
      <c r="T30" s="1">
        <f t="shared" si="6"/>
        <v>2.5967754651529487</v>
      </c>
      <c r="U30" s="1">
        <f t="shared" si="7"/>
        <v>1.9786446214426348</v>
      </c>
      <c r="V30" s="1">
        <v>105</v>
      </c>
      <c r="W30" s="1">
        <v>74</v>
      </c>
      <c r="X30" s="5">
        <f t="shared" si="5"/>
        <v>64.94947005176239</v>
      </c>
      <c r="Y30" s="5">
        <f t="shared" si="1"/>
        <v>44.42700156985871</v>
      </c>
      <c r="Z30" s="2">
        <f t="shared" si="2"/>
        <v>1.5201557654864066</v>
      </c>
      <c r="AA30" s="13">
        <v>3.2</v>
      </c>
      <c r="AB30" s="13">
        <v>124</v>
      </c>
    </row>
    <row r="31" spans="1:28" x14ac:dyDescent="0.25">
      <c r="A31" s="10">
        <v>42896</v>
      </c>
      <c r="B31" s="20">
        <v>0.6</v>
      </c>
      <c r="C31" s="20">
        <v>7.05</v>
      </c>
      <c r="D31" s="20">
        <v>0.05</v>
      </c>
      <c r="E31" s="20">
        <v>0.9</v>
      </c>
      <c r="F31" s="20">
        <v>0.6</v>
      </c>
      <c r="G31" s="20">
        <v>1</v>
      </c>
      <c r="H31" s="20">
        <v>9.32</v>
      </c>
      <c r="I31" s="20">
        <v>15.67</v>
      </c>
      <c r="J31" s="20">
        <v>9.4</v>
      </c>
      <c r="K31" s="20">
        <v>2.64</v>
      </c>
      <c r="L31" s="20">
        <v>23.3</v>
      </c>
      <c r="M31" s="20">
        <v>0.06</v>
      </c>
      <c r="N31" s="20">
        <v>90</v>
      </c>
      <c r="O31" s="20">
        <v>7.36</v>
      </c>
      <c r="P31" s="20">
        <v>6.21</v>
      </c>
      <c r="Q31" s="1">
        <v>2635</v>
      </c>
      <c r="R31" s="1">
        <v>1539</v>
      </c>
      <c r="S31" s="1">
        <v>8236</v>
      </c>
      <c r="T31" s="1">
        <f t="shared" si="6"/>
        <v>2.4995067387081109</v>
      </c>
      <c r="U31" s="1">
        <f t="shared" si="7"/>
        <v>1.8319858297860183</v>
      </c>
      <c r="V31" s="1">
        <v>128</v>
      </c>
      <c r="W31" s="1">
        <v>102</v>
      </c>
      <c r="X31" s="5">
        <f t="shared" si="5"/>
        <v>64.94947005176239</v>
      </c>
      <c r="Y31" s="5">
        <f t="shared" si="1"/>
        <v>48.320251177394034</v>
      </c>
      <c r="Z31" s="2">
        <f t="shared" si="2"/>
        <v>1.39767407937834</v>
      </c>
      <c r="AA31" s="13">
        <v>2.2400000000000002</v>
      </c>
      <c r="AB31" s="1">
        <v>47</v>
      </c>
    </row>
    <row r="32" spans="1:28" x14ac:dyDescent="0.25">
      <c r="A32" s="10">
        <v>42901</v>
      </c>
      <c r="B32" s="20">
        <v>0.2</v>
      </c>
      <c r="C32" s="20">
        <v>7.07</v>
      </c>
      <c r="D32" s="20">
        <v>0.03</v>
      </c>
      <c r="E32" s="20">
        <v>0.62</v>
      </c>
      <c r="F32" s="20">
        <v>0.6</v>
      </c>
      <c r="G32" s="20">
        <v>0.7</v>
      </c>
      <c r="H32" s="20">
        <v>6</v>
      </c>
      <c r="I32" s="20">
        <v>8</v>
      </c>
      <c r="J32" s="20">
        <v>9.4499999999999993</v>
      </c>
      <c r="K32" s="20">
        <v>2.61</v>
      </c>
      <c r="L32" s="20">
        <v>10.08</v>
      </c>
      <c r="M32" s="20">
        <v>0.04</v>
      </c>
      <c r="N32" s="20">
        <v>90</v>
      </c>
      <c r="O32" s="20">
        <v>5.64</v>
      </c>
      <c r="P32" s="20">
        <v>4.6900000000000004</v>
      </c>
      <c r="Q32" s="1">
        <v>2635</v>
      </c>
      <c r="R32" s="2">
        <v>1404</v>
      </c>
      <c r="S32" s="1">
        <v>8912</v>
      </c>
      <c r="T32" s="1">
        <f t="shared" si="6"/>
        <v>2.7632594506619239</v>
      </c>
      <c r="U32" s="1">
        <f t="shared" si="7"/>
        <v>2.1580876023708222</v>
      </c>
      <c r="V32" s="1">
        <v>107</v>
      </c>
      <c r="W32" s="1">
        <v>73</v>
      </c>
      <c r="X32" s="5">
        <f t="shared" si="5"/>
        <v>64.94947005176239</v>
      </c>
      <c r="Y32" s="5">
        <f t="shared" si="1"/>
        <v>44.08163265306122</v>
      </c>
      <c r="Z32" s="2">
        <f t="shared" si="2"/>
        <v>1.5320658177801034</v>
      </c>
      <c r="AA32" s="13">
        <v>1.4</v>
      </c>
      <c r="AB32" s="13">
        <v>180</v>
      </c>
    </row>
    <row r="33" spans="1:28" x14ac:dyDescent="0.25">
      <c r="A33" s="10">
        <v>42905</v>
      </c>
      <c r="B33" s="20">
        <v>1.26</v>
      </c>
      <c r="C33" s="20">
        <v>7.09</v>
      </c>
      <c r="D33" s="20">
        <v>0.08</v>
      </c>
      <c r="E33" s="20">
        <v>2.52</v>
      </c>
      <c r="F33" s="20">
        <v>2.2200000000000002</v>
      </c>
      <c r="G33" s="20">
        <v>1.19</v>
      </c>
      <c r="H33" s="20">
        <v>12.91</v>
      </c>
      <c r="I33" s="20">
        <v>24.12</v>
      </c>
      <c r="J33" s="20">
        <v>35.14</v>
      </c>
      <c r="K33" s="20">
        <v>7.44</v>
      </c>
      <c r="L33" s="20">
        <v>33.369999999999997</v>
      </c>
      <c r="M33" s="20">
        <v>0.08</v>
      </c>
      <c r="N33" s="20">
        <v>176.88</v>
      </c>
      <c r="O33" s="20">
        <v>8.3000000000000007</v>
      </c>
      <c r="P33" s="20">
        <v>7.61</v>
      </c>
      <c r="Q33" s="1">
        <v>2635</v>
      </c>
      <c r="R33" s="2">
        <f>1323+540</f>
        <v>1863</v>
      </c>
      <c r="S33" s="1">
        <v>6569</v>
      </c>
      <c r="T33" s="1">
        <f t="shared" si="6"/>
        <v>2.9934813677085725</v>
      </c>
      <c r="U33" s="1">
        <f t="shared" si="7"/>
        <v>2.3057301664506977</v>
      </c>
      <c r="V33" s="1">
        <v>134</v>
      </c>
      <c r="W33" s="1">
        <v>123</v>
      </c>
      <c r="X33" s="5">
        <f t="shared" si="5"/>
        <v>64.94947005176239</v>
      </c>
      <c r="Y33" s="5">
        <f t="shared" si="1"/>
        <v>58.492935635792776</v>
      </c>
      <c r="Z33" s="2">
        <f t="shared" si="2"/>
        <v>1.1546003264429765</v>
      </c>
      <c r="AA33" s="13">
        <v>1.53</v>
      </c>
      <c r="AB33" s="1">
        <v>53</v>
      </c>
    </row>
    <row r="34" spans="1:28" x14ac:dyDescent="0.25">
      <c r="A34" s="10">
        <v>42909</v>
      </c>
      <c r="B34" s="20">
        <v>0.87</v>
      </c>
      <c r="C34" s="20">
        <v>7.1</v>
      </c>
      <c r="D34" s="20">
        <v>0.06</v>
      </c>
      <c r="E34" s="20">
        <v>2.54</v>
      </c>
      <c r="F34" s="20">
        <v>2.2400000000000002</v>
      </c>
      <c r="G34" s="20">
        <v>1.36</v>
      </c>
      <c r="H34" s="20">
        <v>13.18</v>
      </c>
      <c r="I34" s="20">
        <v>24.35</v>
      </c>
      <c r="J34" s="20">
        <v>35.47</v>
      </c>
      <c r="K34" s="20">
        <v>7.4</v>
      </c>
      <c r="L34" s="20">
        <v>33.9</v>
      </c>
      <c r="M34" s="20">
        <v>7.0000000000000007E-2</v>
      </c>
      <c r="N34" s="20">
        <v>182.57</v>
      </c>
      <c r="O34" s="20">
        <v>7.51</v>
      </c>
      <c r="P34" s="20">
        <v>7.73</v>
      </c>
      <c r="Q34" s="2">
        <v>2635</v>
      </c>
      <c r="R34" s="1">
        <v>2124</v>
      </c>
      <c r="S34" s="1">
        <v>7059</v>
      </c>
      <c r="T34" s="1">
        <f t="shared" si="6"/>
        <v>2.7856890642410557</v>
      </c>
      <c r="U34" s="1">
        <f t="shared" si="7"/>
        <v>2.1646940840867468</v>
      </c>
      <c r="V34" s="1">
        <v>134</v>
      </c>
      <c r="W34" s="1">
        <v>139</v>
      </c>
      <c r="X34" s="5">
        <f t="shared" si="5"/>
        <v>64.94947005176239</v>
      </c>
      <c r="Y34" s="5">
        <f t="shared" si="1"/>
        <v>66.687598116169539</v>
      </c>
      <c r="Z34" s="2">
        <f t="shared" si="2"/>
        <v>1.012721472769899</v>
      </c>
      <c r="AA34" s="13">
        <v>2.04</v>
      </c>
      <c r="AB34" s="1">
        <v>32</v>
      </c>
    </row>
    <row r="35" spans="1:28" x14ac:dyDescent="0.25">
      <c r="A35" s="10">
        <v>42912</v>
      </c>
      <c r="B35" s="20">
        <v>0.98</v>
      </c>
      <c r="C35" s="20">
        <v>7.11</v>
      </c>
      <c r="D35" s="20">
        <v>0.06</v>
      </c>
      <c r="E35" s="20">
        <v>4.6900000000000004</v>
      </c>
      <c r="F35" s="20">
        <v>4.3899999999999997</v>
      </c>
      <c r="G35" s="20">
        <v>1.34</v>
      </c>
      <c r="H35" s="20">
        <v>13.36</v>
      </c>
      <c r="I35" s="20">
        <v>24.51</v>
      </c>
      <c r="J35" s="20">
        <v>69.66</v>
      </c>
      <c r="K35" s="20">
        <v>13.63</v>
      </c>
      <c r="L35" s="20">
        <v>35</v>
      </c>
      <c r="M35" s="20">
        <v>7.0000000000000007E-2</v>
      </c>
      <c r="N35" s="20">
        <v>276.10000000000002</v>
      </c>
      <c r="O35" s="20">
        <v>7.55</v>
      </c>
      <c r="P35" s="20">
        <v>7.82</v>
      </c>
      <c r="Q35" s="2">
        <f>2635+878</f>
        <v>3513</v>
      </c>
      <c r="R35" s="1">
        <v>2124</v>
      </c>
      <c r="S35" s="1">
        <v>6653</v>
      </c>
      <c r="T35" s="1">
        <v>2.8719999999999999</v>
      </c>
      <c r="U35" s="1">
        <v>2.2989999999999999</v>
      </c>
      <c r="V35" s="3">
        <f t="shared" ref="V35:V98" si="8">Q35*1000/(S35*T35)</f>
        <v>183.85531565335683</v>
      </c>
      <c r="W35" s="3">
        <f t="shared" ref="W35:W98" si="9">R35*1000/(S35*U35)</f>
        <v>138.86666884163427</v>
      </c>
      <c r="X35" s="5">
        <f t="shared" si="5"/>
        <v>86.591077150603894</v>
      </c>
      <c r="Y35" s="5">
        <f t="shared" si="1"/>
        <v>66.687598116169539</v>
      </c>
      <c r="Z35" s="2">
        <f t="shared" si="2"/>
        <v>1.3501671855182751</v>
      </c>
      <c r="AA35" s="13">
        <v>1.1599999999999999</v>
      </c>
      <c r="AB35" s="1">
        <v>88</v>
      </c>
    </row>
    <row r="36" spans="1:28" x14ac:dyDescent="0.25">
      <c r="A36" s="10">
        <v>42916</v>
      </c>
      <c r="B36" s="20">
        <v>0.2</v>
      </c>
      <c r="C36" s="20">
        <v>7.13</v>
      </c>
      <c r="D36" s="20">
        <v>0.03</v>
      </c>
      <c r="E36" s="20">
        <v>0.9</v>
      </c>
      <c r="F36" s="20">
        <v>0.6</v>
      </c>
      <c r="G36" s="20">
        <v>0.7</v>
      </c>
      <c r="H36" s="20">
        <v>8.76</v>
      </c>
      <c r="I36" s="20">
        <v>11.83</v>
      </c>
      <c r="J36" s="20">
        <v>9.5500000000000007</v>
      </c>
      <c r="K36" s="20">
        <v>2.54</v>
      </c>
      <c r="L36" s="20">
        <v>20.64</v>
      </c>
      <c r="M36" s="20">
        <v>0.04</v>
      </c>
      <c r="N36" s="20">
        <v>90</v>
      </c>
      <c r="O36" s="20">
        <v>4.9000000000000004</v>
      </c>
      <c r="P36" s="20">
        <v>6.08</v>
      </c>
      <c r="Q36" s="1">
        <v>2635</v>
      </c>
      <c r="R36" s="1">
        <v>2133</v>
      </c>
      <c r="S36" s="1">
        <v>9465</v>
      </c>
      <c r="T36" s="1">
        <v>3.097</v>
      </c>
      <c r="U36" s="1">
        <v>2.5169999999999999</v>
      </c>
      <c r="V36" s="3">
        <f t="shared" si="8"/>
        <v>89.89153486128474</v>
      </c>
      <c r="W36" s="3">
        <f t="shared" si="9"/>
        <v>89.533800898738036</v>
      </c>
      <c r="X36" s="5">
        <f t="shared" si="5"/>
        <v>64.94947005176239</v>
      </c>
      <c r="Y36" s="5">
        <f t="shared" si="1"/>
        <v>66.97017268445839</v>
      </c>
      <c r="Z36" s="2">
        <f t="shared" si="2"/>
        <v>1.0084483863869036</v>
      </c>
      <c r="AA36" s="13">
        <v>3.66</v>
      </c>
      <c r="AB36" s="13">
        <v>120</v>
      </c>
    </row>
    <row r="37" spans="1:28" x14ac:dyDescent="0.25">
      <c r="A37" s="10">
        <v>42922</v>
      </c>
      <c r="B37" s="20">
        <v>0.33</v>
      </c>
      <c r="C37" s="20">
        <v>7.14</v>
      </c>
      <c r="D37" s="20">
        <v>0.03</v>
      </c>
      <c r="E37" s="20">
        <v>1.96</v>
      </c>
      <c r="F37" s="20">
        <v>1.66</v>
      </c>
      <c r="G37" s="20">
        <v>0.75</v>
      </c>
      <c r="H37" s="20">
        <v>9.84</v>
      </c>
      <c r="I37" s="20">
        <v>14.22</v>
      </c>
      <c r="J37" s="20">
        <v>26.53</v>
      </c>
      <c r="K37" s="20">
        <v>5.56</v>
      </c>
      <c r="L37" s="20">
        <v>24.42</v>
      </c>
      <c r="M37" s="20">
        <v>0.04</v>
      </c>
      <c r="N37" s="20">
        <v>134.56</v>
      </c>
      <c r="O37" s="20">
        <v>5.65</v>
      </c>
      <c r="P37" s="20">
        <v>6.55</v>
      </c>
      <c r="Q37" s="1">
        <v>2635</v>
      </c>
      <c r="R37" s="1">
        <v>1593</v>
      </c>
      <c r="S37" s="1">
        <v>7002</v>
      </c>
      <c r="T37" s="1">
        <v>3.0259999999999998</v>
      </c>
      <c r="U37" s="1">
        <v>2.4</v>
      </c>
      <c r="V37" s="3">
        <f t="shared" si="8"/>
        <v>124.36254168150994</v>
      </c>
      <c r="W37" s="3">
        <f t="shared" si="9"/>
        <v>94.794344473007712</v>
      </c>
      <c r="X37" s="5">
        <f t="shared" si="5"/>
        <v>64.94947005176239</v>
      </c>
      <c r="Y37" s="5">
        <f t="shared" si="1"/>
        <v>50.015698587127154</v>
      </c>
      <c r="Z37" s="2">
        <f t="shared" si="2"/>
        <v>1.3502952970265318</v>
      </c>
      <c r="AA37" s="13">
        <v>1.85</v>
      </c>
      <c r="AB37" s="1">
        <v>27</v>
      </c>
    </row>
    <row r="38" spans="1:28" x14ac:dyDescent="0.25">
      <c r="A38" s="10">
        <v>42926</v>
      </c>
      <c r="B38" s="20">
        <v>0.71</v>
      </c>
      <c r="C38" s="20">
        <v>7.15</v>
      </c>
      <c r="D38" s="20">
        <v>0.05</v>
      </c>
      <c r="E38" s="20">
        <v>3.15</v>
      </c>
      <c r="F38" s="20">
        <v>2.92</v>
      </c>
      <c r="G38" s="20">
        <v>0.81</v>
      </c>
      <c r="H38" s="20">
        <v>10.86</v>
      </c>
      <c r="I38" s="20">
        <v>16.63</v>
      </c>
      <c r="J38" s="20">
        <v>46.74</v>
      </c>
      <c r="K38" s="20">
        <v>9.1199999999999992</v>
      </c>
      <c r="L38" s="20">
        <v>26.74</v>
      </c>
      <c r="M38" s="20">
        <v>0.06</v>
      </c>
      <c r="N38" s="20">
        <v>193.92</v>
      </c>
      <c r="O38" s="20">
        <v>6.26</v>
      </c>
      <c r="P38" s="20">
        <v>6.97</v>
      </c>
      <c r="Q38" s="1">
        <v>2635</v>
      </c>
      <c r="R38" s="1">
        <v>1593</v>
      </c>
      <c r="S38" s="1">
        <v>6230</v>
      </c>
      <c r="T38" s="1">
        <v>3.1890000000000001</v>
      </c>
      <c r="U38" s="1">
        <v>2.5470000000000002</v>
      </c>
      <c r="V38" s="3">
        <f t="shared" si="8"/>
        <v>132.62886517508267</v>
      </c>
      <c r="W38" s="3">
        <f t="shared" si="9"/>
        <v>100.39192553981928</v>
      </c>
      <c r="X38" s="5">
        <f t="shared" si="5"/>
        <v>64.94947005176239</v>
      </c>
      <c r="Y38" s="5">
        <f t="shared" si="1"/>
        <v>50.015698587127154</v>
      </c>
      <c r="Z38" s="2">
        <f t="shared" si="2"/>
        <v>1.3502952970265318</v>
      </c>
      <c r="AA38" s="13">
        <v>1.5</v>
      </c>
      <c r="AB38" s="1">
        <v>80</v>
      </c>
    </row>
    <row r="39" spans="1:28" x14ac:dyDescent="0.25">
      <c r="A39" s="10">
        <v>42933</v>
      </c>
      <c r="B39" s="20">
        <v>0.77</v>
      </c>
      <c r="C39" s="20">
        <v>7.15</v>
      </c>
      <c r="D39" s="20">
        <v>0.05</v>
      </c>
      <c r="E39" s="20">
        <v>4.24</v>
      </c>
      <c r="F39" s="20">
        <v>4.16</v>
      </c>
      <c r="G39" s="20">
        <v>0.89</v>
      </c>
      <c r="H39" s="20">
        <v>12.2</v>
      </c>
      <c r="I39" s="20">
        <v>19.760000000000002</v>
      </c>
      <c r="J39" s="20">
        <v>66.680000000000007</v>
      </c>
      <c r="K39" s="20">
        <v>12.55</v>
      </c>
      <c r="L39" s="20">
        <v>28.39</v>
      </c>
      <c r="M39" s="20">
        <v>0.06</v>
      </c>
      <c r="N39" s="20">
        <v>253.64</v>
      </c>
      <c r="O39" s="20">
        <v>6.41</v>
      </c>
      <c r="P39" s="20">
        <v>7.53</v>
      </c>
      <c r="Q39" s="1">
        <v>2635</v>
      </c>
      <c r="R39" s="1">
        <v>1594</v>
      </c>
      <c r="S39" s="1">
        <v>6078</v>
      </c>
      <c r="T39" s="1">
        <v>3.0449999999999999</v>
      </c>
      <c r="U39" s="1">
        <v>2.44</v>
      </c>
      <c r="V39" s="3">
        <f t="shared" si="8"/>
        <v>142.37463602613209</v>
      </c>
      <c r="W39" s="3">
        <f t="shared" si="9"/>
        <v>107.48250880628335</v>
      </c>
      <c r="X39" s="5">
        <f t="shared" si="5"/>
        <v>64.94947005176239</v>
      </c>
      <c r="Y39" s="5">
        <f t="shared" si="1"/>
        <v>50.04709576138147</v>
      </c>
      <c r="Z39" s="2">
        <f t="shared" si="2"/>
        <v>1.3494481857987863</v>
      </c>
      <c r="AA39" s="13">
        <v>1.9</v>
      </c>
      <c r="AB39" s="1">
        <v>20</v>
      </c>
    </row>
    <row r="40" spans="1:28" x14ac:dyDescent="0.25">
      <c r="A40" s="10">
        <v>42937</v>
      </c>
      <c r="B40" s="20">
        <v>0.2</v>
      </c>
      <c r="C40" s="20">
        <v>7.16</v>
      </c>
      <c r="D40" s="20">
        <v>0.02</v>
      </c>
      <c r="E40" s="20">
        <v>2.4700000000000002</v>
      </c>
      <c r="F40" s="20">
        <v>2.17</v>
      </c>
      <c r="G40" s="20">
        <v>0.86</v>
      </c>
      <c r="H40" s="20">
        <v>12.04</v>
      </c>
      <c r="I40" s="20">
        <v>19.079999999999998</v>
      </c>
      <c r="J40" s="20">
        <v>34.86</v>
      </c>
      <c r="K40" s="20">
        <v>6.92</v>
      </c>
      <c r="L40" s="20">
        <v>29.81</v>
      </c>
      <c r="M40" s="20">
        <v>0.04</v>
      </c>
      <c r="N40" s="20">
        <v>167.22</v>
      </c>
      <c r="O40" s="20">
        <v>4.9000000000000004</v>
      </c>
      <c r="P40" s="20">
        <v>7.47</v>
      </c>
      <c r="Q40" s="1">
        <v>2635</v>
      </c>
      <c r="R40" s="1">
        <v>1593</v>
      </c>
      <c r="S40" s="1">
        <v>7859</v>
      </c>
      <c r="T40" s="1">
        <v>2.5939999999999999</v>
      </c>
      <c r="U40" s="1">
        <v>1.9239999999999999</v>
      </c>
      <c r="V40" s="3">
        <f t="shared" si="8"/>
        <v>129.25381161396757</v>
      </c>
      <c r="W40" s="3">
        <f t="shared" si="9"/>
        <v>105.35215395884693</v>
      </c>
      <c r="X40" s="5">
        <f t="shared" si="5"/>
        <v>64.94947005176239</v>
      </c>
      <c r="Y40" s="5">
        <f t="shared" si="1"/>
        <v>50.015698587127154</v>
      </c>
      <c r="Z40" s="2">
        <f t="shared" si="2"/>
        <v>1.3502952970265318</v>
      </c>
      <c r="AA40" s="13">
        <v>1.4</v>
      </c>
      <c r="AB40" s="1">
        <v>25</v>
      </c>
    </row>
    <row r="41" spans="1:28" x14ac:dyDescent="0.25">
      <c r="A41" s="10">
        <v>42943</v>
      </c>
      <c r="B41" s="20">
        <v>0.57999999999999996</v>
      </c>
      <c r="C41" s="20">
        <v>7.16</v>
      </c>
      <c r="D41" s="20">
        <v>0.04</v>
      </c>
      <c r="E41" s="20">
        <v>4.3</v>
      </c>
      <c r="F41" s="20">
        <v>4.04</v>
      </c>
      <c r="G41" s="20">
        <v>0.94</v>
      </c>
      <c r="H41" s="20">
        <v>13.35</v>
      </c>
      <c r="I41" s="20">
        <v>22.18</v>
      </c>
      <c r="J41" s="20">
        <v>64.92</v>
      </c>
      <c r="K41" s="20">
        <v>12.13</v>
      </c>
      <c r="L41" s="20">
        <v>34.4</v>
      </c>
      <c r="M41" s="20">
        <v>0.05</v>
      </c>
      <c r="N41" s="20">
        <v>254.18</v>
      </c>
      <c r="O41" s="20">
        <v>6.15</v>
      </c>
      <c r="P41" s="20">
        <v>7.97</v>
      </c>
      <c r="Q41" s="1">
        <v>2635</v>
      </c>
      <c r="R41" s="1">
        <v>1593</v>
      </c>
      <c r="S41" s="1">
        <v>6451</v>
      </c>
      <c r="T41" s="1">
        <v>2.8919999999999999</v>
      </c>
      <c r="U41" s="1">
        <v>2.1970000000000001</v>
      </c>
      <c r="V41" s="3">
        <f t="shared" si="8"/>
        <v>141.23921302260922</v>
      </c>
      <c r="W41" s="3">
        <f t="shared" si="9"/>
        <v>112.39802419372762</v>
      </c>
      <c r="X41" s="5">
        <f t="shared" si="5"/>
        <v>64.94947005176239</v>
      </c>
      <c r="Y41" s="5">
        <f t="shared" si="1"/>
        <v>50.015698587127154</v>
      </c>
      <c r="Z41" s="2">
        <f t="shared" si="2"/>
        <v>1.3502952970265318</v>
      </c>
      <c r="AA41" s="13">
        <v>1.36</v>
      </c>
      <c r="AB41" s="1">
        <v>32</v>
      </c>
    </row>
    <row r="42" spans="1:28" x14ac:dyDescent="0.25">
      <c r="A42" s="10">
        <v>42949</v>
      </c>
      <c r="B42" s="20">
        <v>1.02</v>
      </c>
      <c r="C42" s="20">
        <v>7.17</v>
      </c>
      <c r="D42" s="20">
        <v>0.06</v>
      </c>
      <c r="E42" s="20">
        <v>5.59</v>
      </c>
      <c r="F42" s="20">
        <v>5.47</v>
      </c>
      <c r="G42" s="20">
        <v>1.1000000000000001</v>
      </c>
      <c r="H42" s="20">
        <v>15.02</v>
      </c>
      <c r="I42" s="20">
        <v>26.23</v>
      </c>
      <c r="J42" s="20">
        <v>87.87</v>
      </c>
      <c r="K42" s="20">
        <v>16.07</v>
      </c>
      <c r="L42" s="20">
        <v>31.99</v>
      </c>
      <c r="M42" s="20">
        <v>0.08</v>
      </c>
      <c r="N42" s="20">
        <v>324.41000000000003</v>
      </c>
      <c r="O42" s="20">
        <v>7</v>
      </c>
      <c r="P42" s="20">
        <v>8.56</v>
      </c>
      <c r="Q42" s="1">
        <v>2635</v>
      </c>
      <c r="R42" s="1">
        <v>1593</v>
      </c>
      <c r="S42" s="1">
        <v>5716</v>
      </c>
      <c r="T42" s="1">
        <v>2.8719999999999999</v>
      </c>
      <c r="U42" s="1">
        <v>2.2160000000000002</v>
      </c>
      <c r="V42" s="3">
        <f t="shared" si="8"/>
        <v>160.5106908039009</v>
      </c>
      <c r="W42" s="3">
        <f t="shared" si="9"/>
        <v>125.76326380064319</v>
      </c>
      <c r="X42" s="5">
        <f t="shared" si="5"/>
        <v>64.94947005176239</v>
      </c>
      <c r="Y42" s="5">
        <f t="shared" si="1"/>
        <v>50.015698587127154</v>
      </c>
      <c r="Z42" s="2">
        <f t="shared" si="2"/>
        <v>1.3502952970265318</v>
      </c>
      <c r="AA42" s="13">
        <v>1.27</v>
      </c>
      <c r="AB42" s="1">
        <v>41</v>
      </c>
    </row>
    <row r="43" spans="1:28" x14ac:dyDescent="0.25">
      <c r="A43" s="10">
        <v>42954</v>
      </c>
      <c r="B43" s="20">
        <v>0.66</v>
      </c>
      <c r="C43" s="20">
        <v>7.17</v>
      </c>
      <c r="D43" s="20">
        <v>0.04</v>
      </c>
      <c r="E43" s="20">
        <v>4.7300000000000004</v>
      </c>
      <c r="F43" s="20">
        <v>4.57</v>
      </c>
      <c r="G43" s="20">
        <v>0.95</v>
      </c>
      <c r="H43" s="20">
        <v>14.15</v>
      </c>
      <c r="I43" s="20">
        <v>23.51</v>
      </c>
      <c r="J43" s="20">
        <v>73.430000000000007</v>
      </c>
      <c r="K43" s="20">
        <v>13.51</v>
      </c>
      <c r="L43" s="20">
        <v>34.5</v>
      </c>
      <c r="M43" s="20">
        <v>0.06</v>
      </c>
      <c r="N43" s="20">
        <v>279.07</v>
      </c>
      <c r="O43" s="20">
        <v>6.28</v>
      </c>
      <c r="P43" s="20">
        <v>8.16</v>
      </c>
      <c r="Q43" s="1">
        <v>2635</v>
      </c>
      <c r="R43" s="1">
        <v>1593</v>
      </c>
      <c r="S43" s="1">
        <v>6278</v>
      </c>
      <c r="T43" s="1">
        <v>2.91</v>
      </c>
      <c r="U43" s="1">
        <v>2.2229999999999999</v>
      </c>
      <c r="V43" s="3">
        <f t="shared" si="8"/>
        <v>144.23355874274316</v>
      </c>
      <c r="W43" s="3">
        <f t="shared" si="9"/>
        <v>114.14450307158344</v>
      </c>
      <c r="X43" s="5">
        <f t="shared" si="5"/>
        <v>64.94947005176239</v>
      </c>
      <c r="Y43" s="5">
        <f t="shared" si="1"/>
        <v>50.015698587127154</v>
      </c>
      <c r="Z43" s="2">
        <f t="shared" si="2"/>
        <v>1.3502952970265318</v>
      </c>
      <c r="AA43" s="13">
        <v>1.28</v>
      </c>
      <c r="AB43" s="1">
        <v>43</v>
      </c>
    </row>
    <row r="44" spans="1:28" x14ac:dyDescent="0.25">
      <c r="A44" s="10">
        <v>42958</v>
      </c>
      <c r="B44" s="20">
        <v>0.27</v>
      </c>
      <c r="C44" s="20">
        <v>7.17</v>
      </c>
      <c r="D44" s="20">
        <v>0.03</v>
      </c>
      <c r="E44" s="20">
        <v>2.4900000000000002</v>
      </c>
      <c r="F44" s="20">
        <v>2.2200000000000002</v>
      </c>
      <c r="G44" s="20">
        <v>0.7</v>
      </c>
      <c r="H44" s="20">
        <v>11.34</v>
      </c>
      <c r="I44" s="20">
        <v>15.68</v>
      </c>
      <c r="J44" s="20">
        <v>35.799999999999997</v>
      </c>
      <c r="K44" s="20">
        <v>6.98</v>
      </c>
      <c r="L44" s="20">
        <v>26.48</v>
      </c>
      <c r="M44" s="20">
        <v>0.04</v>
      </c>
      <c r="N44" s="20">
        <v>162.5</v>
      </c>
      <c r="O44" s="20">
        <v>5.24</v>
      </c>
      <c r="P44" s="20">
        <v>7.01</v>
      </c>
      <c r="Q44" s="1">
        <v>2230</v>
      </c>
      <c r="R44" s="1">
        <v>1333</v>
      </c>
      <c r="S44" s="1">
        <v>6698</v>
      </c>
      <c r="T44" s="1">
        <v>2.6949999999999998</v>
      </c>
      <c r="U44" s="1">
        <v>2.1190000000000002</v>
      </c>
      <c r="V44" s="3">
        <f t="shared" si="8"/>
        <v>123.538109290786</v>
      </c>
      <c r="W44" s="3">
        <f t="shared" si="9"/>
        <v>93.919127528647437</v>
      </c>
      <c r="X44" s="5">
        <f t="shared" si="5"/>
        <v>54.966724180428891</v>
      </c>
      <c r="Y44" s="5">
        <f t="shared" si="1"/>
        <v>41.852433281004707</v>
      </c>
      <c r="Z44" s="2">
        <f t="shared" si="2"/>
        <v>1.3656475343325627</v>
      </c>
      <c r="AA44" s="16">
        <v>0.96</v>
      </c>
      <c r="AB44" s="1">
        <v>63</v>
      </c>
    </row>
    <row r="45" spans="1:28" x14ac:dyDescent="0.25">
      <c r="A45" s="10">
        <v>42961</v>
      </c>
      <c r="B45" s="20">
        <v>0.2</v>
      </c>
      <c r="C45" s="20">
        <v>7.17</v>
      </c>
      <c r="D45" s="20">
        <v>0.02</v>
      </c>
      <c r="E45" s="20">
        <v>0.65</v>
      </c>
      <c r="F45" s="20">
        <v>0.6</v>
      </c>
      <c r="G45" s="20">
        <v>0.54</v>
      </c>
      <c r="H45" s="20">
        <v>7.91</v>
      </c>
      <c r="I45" s="20">
        <v>8</v>
      </c>
      <c r="J45" s="20">
        <v>9.66</v>
      </c>
      <c r="K45" s="20">
        <v>2.46</v>
      </c>
      <c r="L45" s="20">
        <v>12.38</v>
      </c>
      <c r="M45" s="20">
        <v>0.04</v>
      </c>
      <c r="N45" s="20">
        <v>90</v>
      </c>
      <c r="O45" s="20">
        <v>4.9000000000000004</v>
      </c>
      <c r="P45" s="20">
        <v>5.63</v>
      </c>
      <c r="Q45" s="1">
        <v>2230</v>
      </c>
      <c r="R45" s="1">
        <v>1384</v>
      </c>
      <c r="S45" s="6">
        <v>9109</v>
      </c>
      <c r="T45" s="1">
        <v>2.8239999999999998</v>
      </c>
      <c r="U45" s="1">
        <v>2.1760000000000002</v>
      </c>
      <c r="V45" s="3">
        <f t="shared" si="8"/>
        <v>86.690092947329433</v>
      </c>
      <c r="W45" s="3">
        <f t="shared" si="9"/>
        <v>69.82428496703325</v>
      </c>
      <c r="X45" s="5">
        <f t="shared" si="5"/>
        <v>54.966724180428891</v>
      </c>
      <c r="Y45" s="5">
        <f t="shared" si="1"/>
        <v>43.453689167974879</v>
      </c>
      <c r="Z45" s="2">
        <f t="shared" si="2"/>
        <v>1.3153238173882269</v>
      </c>
      <c r="AA45" s="13">
        <v>5.65</v>
      </c>
      <c r="AB45" s="1">
        <v>50</v>
      </c>
    </row>
    <row r="46" spans="1:28" x14ac:dyDescent="0.25">
      <c r="A46" s="10">
        <v>42966</v>
      </c>
      <c r="B46" s="20">
        <v>1.52</v>
      </c>
      <c r="C46" s="20">
        <v>7.17</v>
      </c>
      <c r="D46" s="20">
        <v>0.08</v>
      </c>
      <c r="E46" s="20">
        <v>5.8</v>
      </c>
      <c r="F46" s="20">
        <v>6.06</v>
      </c>
      <c r="G46" s="20">
        <v>1.43</v>
      </c>
      <c r="H46" s="20">
        <v>16.04</v>
      </c>
      <c r="I46" s="20">
        <v>27.43</v>
      </c>
      <c r="J46" s="20">
        <v>97.7</v>
      </c>
      <c r="K46" s="20">
        <v>17.54</v>
      </c>
      <c r="L46" s="20">
        <v>21.59</v>
      </c>
      <c r="M46" s="20">
        <v>0.1</v>
      </c>
      <c r="N46" s="20">
        <v>358.02</v>
      </c>
      <c r="O46" s="20">
        <v>7.76</v>
      </c>
      <c r="P46" s="20">
        <v>8.6199999999999992</v>
      </c>
      <c r="Q46" s="1">
        <v>2230</v>
      </c>
      <c r="R46" s="1">
        <v>1410</v>
      </c>
      <c r="S46" s="6">
        <v>4690</v>
      </c>
      <c r="T46" s="1">
        <v>2.6280000000000001</v>
      </c>
      <c r="U46" s="1">
        <v>1.954</v>
      </c>
      <c r="V46" s="3">
        <f t="shared" si="8"/>
        <v>180.9283653487293</v>
      </c>
      <c r="W46" s="3">
        <f t="shared" si="9"/>
        <v>153.85857668813412</v>
      </c>
      <c r="X46" s="5">
        <f t="shared" si="5"/>
        <v>54.966724180428891</v>
      </c>
      <c r="Y46" s="5">
        <f t="shared" si="1"/>
        <v>44.270015698587123</v>
      </c>
      <c r="Z46" s="2">
        <f t="shared" si="2"/>
        <v>1.2910696193370965</v>
      </c>
      <c r="AA46" s="13">
        <v>2.06</v>
      </c>
      <c r="AB46" s="13">
        <v>103</v>
      </c>
    </row>
    <row r="47" spans="1:28" x14ac:dyDescent="0.25">
      <c r="A47" s="10">
        <v>42970</v>
      </c>
      <c r="B47" s="20">
        <v>0.2</v>
      </c>
      <c r="C47" s="20">
        <v>7.18</v>
      </c>
      <c r="D47" s="20">
        <v>0.02</v>
      </c>
      <c r="E47" s="20">
        <v>0.55000000000000004</v>
      </c>
      <c r="F47" s="20">
        <v>0.6</v>
      </c>
      <c r="G47" s="20">
        <v>0.52</v>
      </c>
      <c r="H47" s="20">
        <v>7.67</v>
      </c>
      <c r="I47" s="20">
        <v>8</v>
      </c>
      <c r="J47" s="20">
        <v>9.68</v>
      </c>
      <c r="K47" s="20">
        <v>2.4500000000000002</v>
      </c>
      <c r="L47" s="20">
        <v>10.119999999999999</v>
      </c>
      <c r="M47" s="20">
        <v>0.04</v>
      </c>
      <c r="N47" s="20">
        <v>90</v>
      </c>
      <c r="O47" s="20">
        <v>4.9000000000000004</v>
      </c>
      <c r="P47" s="20">
        <v>5.29</v>
      </c>
      <c r="Q47" s="1">
        <v>2230</v>
      </c>
      <c r="R47" s="1">
        <v>1362</v>
      </c>
      <c r="S47" s="1">
        <v>8484</v>
      </c>
      <c r="T47" s="1">
        <v>3.089</v>
      </c>
      <c r="U47" s="1">
        <v>2.5089999999999999</v>
      </c>
      <c r="V47" s="3">
        <f t="shared" si="8"/>
        <v>85.091522610153078</v>
      </c>
      <c r="W47" s="3">
        <f t="shared" si="9"/>
        <v>63.984648194364503</v>
      </c>
      <c r="X47" s="5">
        <f t="shared" si="5"/>
        <v>54.966724180428891</v>
      </c>
      <c r="Y47" s="5">
        <f t="shared" si="1"/>
        <v>42.762951334379906</v>
      </c>
      <c r="Z47" s="2">
        <f t="shared" si="2"/>
        <v>1.3365698702388444</v>
      </c>
      <c r="AA47" s="13">
        <v>1.82</v>
      </c>
      <c r="AB47" s="1">
        <v>92</v>
      </c>
    </row>
    <row r="48" spans="1:28" x14ac:dyDescent="0.25">
      <c r="A48" s="10">
        <v>42975</v>
      </c>
      <c r="B48" s="20">
        <v>0.2</v>
      </c>
      <c r="C48" s="20">
        <v>7.18</v>
      </c>
      <c r="D48" s="20">
        <v>0.02</v>
      </c>
      <c r="E48" s="20">
        <v>0.72</v>
      </c>
      <c r="F48" s="20">
        <v>0.6</v>
      </c>
      <c r="G48" s="20">
        <v>0.51</v>
      </c>
      <c r="H48" s="20">
        <v>9.32</v>
      </c>
      <c r="I48" s="20">
        <v>8.48</v>
      </c>
      <c r="J48" s="20">
        <v>9.69</v>
      </c>
      <c r="K48" s="20">
        <v>2.44</v>
      </c>
      <c r="L48" s="20">
        <v>15.35</v>
      </c>
      <c r="M48" s="20">
        <v>0.04</v>
      </c>
      <c r="N48" s="20">
        <v>90</v>
      </c>
      <c r="O48" s="20">
        <v>4.9000000000000004</v>
      </c>
      <c r="P48" s="20">
        <v>5.76</v>
      </c>
      <c r="Q48" s="1">
        <v>2230</v>
      </c>
      <c r="R48" s="1">
        <v>1557</v>
      </c>
      <c r="S48" s="1">
        <v>9275</v>
      </c>
      <c r="T48" s="1">
        <v>2.9350000000000001</v>
      </c>
      <c r="U48" s="1">
        <v>2.319</v>
      </c>
      <c r="V48" s="3">
        <f t="shared" si="8"/>
        <v>81.918659913581322</v>
      </c>
      <c r="W48" s="3">
        <f t="shared" si="9"/>
        <v>72.389228092320678</v>
      </c>
      <c r="X48" s="5">
        <f t="shared" si="5"/>
        <v>54.966724180428891</v>
      </c>
      <c r="Y48" s="5">
        <f t="shared" si="1"/>
        <v>48.885400313971743</v>
      </c>
      <c r="Z48" s="2">
        <f t="shared" si="2"/>
        <v>1.1691767265673128</v>
      </c>
      <c r="AA48" s="13">
        <v>1.53</v>
      </c>
      <c r="AB48" s="1">
        <v>90</v>
      </c>
    </row>
    <row r="49" spans="1:28" x14ac:dyDescent="0.25">
      <c r="A49" s="10">
        <v>42981</v>
      </c>
      <c r="B49" s="20">
        <v>0.54</v>
      </c>
      <c r="C49" s="20">
        <v>7.18</v>
      </c>
      <c r="D49" s="20">
        <v>0.04</v>
      </c>
      <c r="E49" s="20">
        <v>2.64</v>
      </c>
      <c r="F49" s="20">
        <v>2.34</v>
      </c>
      <c r="G49" s="20">
        <v>0.86</v>
      </c>
      <c r="H49" s="20">
        <v>15.54</v>
      </c>
      <c r="I49" s="20">
        <v>24.3</v>
      </c>
      <c r="J49" s="20">
        <v>37.83</v>
      </c>
      <c r="K49" s="20">
        <v>7.18</v>
      </c>
      <c r="L49" s="20">
        <v>35</v>
      </c>
      <c r="M49" s="20">
        <v>0.05</v>
      </c>
      <c r="N49" s="20">
        <v>184.17</v>
      </c>
      <c r="O49" s="20">
        <v>6.01</v>
      </c>
      <c r="P49" s="20">
        <v>7.93</v>
      </c>
      <c r="Q49" s="1">
        <v>2230</v>
      </c>
      <c r="R49" s="1">
        <v>1594</v>
      </c>
      <c r="S49" s="1">
        <v>6442</v>
      </c>
      <c r="T49" s="1">
        <v>2.88</v>
      </c>
      <c r="U49" s="1">
        <v>2.2400000000000002</v>
      </c>
      <c r="V49" s="3">
        <f t="shared" si="8"/>
        <v>120.19645382731382</v>
      </c>
      <c r="W49" s="3">
        <f t="shared" si="9"/>
        <v>110.46369805295603</v>
      </c>
      <c r="X49" s="5">
        <f t="shared" si="5"/>
        <v>54.966724180428891</v>
      </c>
      <c r="Y49" s="5">
        <f t="shared" si="1"/>
        <v>50.04709576138147</v>
      </c>
      <c r="Z49" s="2">
        <f t="shared" si="2"/>
        <v>1.1420377435792384</v>
      </c>
      <c r="AA49" s="13">
        <v>2.15</v>
      </c>
      <c r="AB49" s="1">
        <v>40</v>
      </c>
    </row>
    <row r="50" spans="1:28" x14ac:dyDescent="0.25">
      <c r="A50" s="10">
        <v>42985</v>
      </c>
      <c r="B50" s="20">
        <v>0.51</v>
      </c>
      <c r="C50" s="20">
        <v>7.19</v>
      </c>
      <c r="D50" s="20">
        <v>0.04</v>
      </c>
      <c r="E50" s="20">
        <v>2.27</v>
      </c>
      <c r="F50" s="20">
        <v>1.97</v>
      </c>
      <c r="G50" s="20">
        <v>0.67</v>
      </c>
      <c r="H50" s="20">
        <v>13.66</v>
      </c>
      <c r="I50" s="20">
        <v>18.75</v>
      </c>
      <c r="J50" s="20">
        <v>31.83</v>
      </c>
      <c r="K50" s="20">
        <v>6.14</v>
      </c>
      <c r="L50" s="20">
        <v>30.55</v>
      </c>
      <c r="M50" s="20">
        <v>0.05</v>
      </c>
      <c r="N50" s="20">
        <v>156.83000000000001</v>
      </c>
      <c r="O50" s="20">
        <v>5.65</v>
      </c>
      <c r="P50" s="20">
        <v>7.06</v>
      </c>
      <c r="Q50" s="1">
        <v>2230</v>
      </c>
      <c r="R50" s="1">
        <v>1485</v>
      </c>
      <c r="S50" s="1">
        <v>6235</v>
      </c>
      <c r="T50" s="1">
        <v>3.1</v>
      </c>
      <c r="U50" s="1">
        <v>2.4900000000000002</v>
      </c>
      <c r="V50" s="3">
        <f t="shared" si="8"/>
        <v>115.37367100395788</v>
      </c>
      <c r="W50" s="3">
        <f t="shared" si="9"/>
        <v>95.65124974637925</v>
      </c>
      <c r="X50" s="5">
        <f t="shared" si="5"/>
        <v>54.966724180428891</v>
      </c>
      <c r="Y50" s="5">
        <f t="shared" si="1"/>
        <v>46.624803767660907</v>
      </c>
      <c r="Z50" s="2">
        <f t="shared" si="2"/>
        <v>1.2258640830069401</v>
      </c>
      <c r="AA50" s="13">
        <v>1.43</v>
      </c>
      <c r="AB50" s="1">
        <v>80</v>
      </c>
    </row>
    <row r="51" spans="1:28" x14ac:dyDescent="0.25">
      <c r="A51" s="10">
        <v>42988</v>
      </c>
      <c r="B51" s="20">
        <v>0.31</v>
      </c>
      <c r="C51" s="20">
        <v>7.19</v>
      </c>
      <c r="D51" s="20">
        <v>0.03</v>
      </c>
      <c r="E51" s="20">
        <v>1.03</v>
      </c>
      <c r="F51" s="20">
        <v>0.73</v>
      </c>
      <c r="G51" s="20">
        <v>0.49</v>
      </c>
      <c r="H51" s="20">
        <v>11.89</v>
      </c>
      <c r="I51" s="20">
        <v>13.61</v>
      </c>
      <c r="J51" s="20">
        <v>11.85</v>
      </c>
      <c r="K51" s="20">
        <v>2.78</v>
      </c>
      <c r="L51" s="20">
        <v>24.34</v>
      </c>
      <c r="M51" s="20">
        <v>0.04</v>
      </c>
      <c r="N51" s="20">
        <v>93.04</v>
      </c>
      <c r="O51" s="20">
        <v>5.05</v>
      </c>
      <c r="P51" s="20">
        <v>6.26</v>
      </c>
      <c r="Q51" s="1">
        <v>2230</v>
      </c>
      <c r="R51" s="1">
        <v>1431</v>
      </c>
      <c r="S51" s="1">
        <v>6391</v>
      </c>
      <c r="T51" s="1">
        <v>3.3570000000000002</v>
      </c>
      <c r="U51" s="1">
        <v>2.7280000000000002</v>
      </c>
      <c r="V51" s="3">
        <f t="shared" si="8"/>
        <v>103.94047669153454</v>
      </c>
      <c r="W51" s="3">
        <f t="shared" si="9"/>
        <v>82.077940432178494</v>
      </c>
      <c r="X51" s="5">
        <f t="shared" si="5"/>
        <v>54.966724180428891</v>
      </c>
      <c r="Y51" s="5">
        <f t="shared" si="1"/>
        <v>44.929356357927787</v>
      </c>
      <c r="Z51" s="2">
        <f t="shared" si="2"/>
        <v>1.2721231050072019</v>
      </c>
      <c r="AA51" s="13">
        <v>1.81</v>
      </c>
      <c r="AB51" s="1">
        <v>40</v>
      </c>
    </row>
    <row r="52" spans="1:28" x14ac:dyDescent="0.25">
      <c r="A52" s="10">
        <v>42992</v>
      </c>
      <c r="B52" s="20">
        <v>0.2</v>
      </c>
      <c r="C52" s="20">
        <v>7.19</v>
      </c>
      <c r="D52" s="20">
        <v>0.02</v>
      </c>
      <c r="E52" s="20">
        <v>0.64</v>
      </c>
      <c r="F52" s="20">
        <v>0.6</v>
      </c>
      <c r="G52" s="20">
        <v>0.48</v>
      </c>
      <c r="H52" s="20">
        <v>10.32</v>
      </c>
      <c r="I52" s="20">
        <v>8.85</v>
      </c>
      <c r="J52" s="20">
        <v>9.73</v>
      </c>
      <c r="K52" s="20">
        <v>2.42</v>
      </c>
      <c r="L52" s="20">
        <v>14.52</v>
      </c>
      <c r="M52" s="20">
        <v>0.04</v>
      </c>
      <c r="N52" s="20">
        <v>90</v>
      </c>
      <c r="O52" s="20">
        <v>4.9000000000000004</v>
      </c>
      <c r="P52" s="20">
        <v>5.5</v>
      </c>
      <c r="Q52" s="1">
        <v>2230</v>
      </c>
      <c r="R52" s="1">
        <v>1482</v>
      </c>
      <c r="S52" s="1">
        <v>7866</v>
      </c>
      <c r="T52" s="1">
        <v>3.3660000000000001</v>
      </c>
      <c r="U52" s="1">
        <v>2.72</v>
      </c>
      <c r="V52" s="3">
        <f t="shared" si="8"/>
        <v>84.224183474867729</v>
      </c>
      <c r="W52" s="3">
        <f t="shared" si="9"/>
        <v>69.266837169650472</v>
      </c>
      <c r="X52" s="5">
        <f t="shared" si="5"/>
        <v>54.966724180428891</v>
      </c>
      <c r="Y52" s="5">
        <f t="shared" si="1"/>
        <v>46.530612244897959</v>
      </c>
      <c r="Z52" s="2">
        <f t="shared" si="2"/>
        <v>1.228345589247845</v>
      </c>
      <c r="AA52" s="13">
        <v>1.75</v>
      </c>
      <c r="AB52" s="1">
        <v>30</v>
      </c>
    </row>
    <row r="53" spans="1:28" x14ac:dyDescent="0.25">
      <c r="A53" s="10">
        <v>42997</v>
      </c>
      <c r="B53" s="20">
        <v>0.22</v>
      </c>
      <c r="C53" s="20">
        <v>7.2</v>
      </c>
      <c r="D53" s="20">
        <v>0.03</v>
      </c>
      <c r="E53" s="20">
        <v>0.9</v>
      </c>
      <c r="F53" s="20">
        <v>0.6</v>
      </c>
      <c r="G53" s="20">
        <v>0.48</v>
      </c>
      <c r="H53" s="20">
        <v>12.86</v>
      </c>
      <c r="I53" s="20">
        <v>14.92</v>
      </c>
      <c r="J53" s="20">
        <v>9.74</v>
      </c>
      <c r="K53" s="20">
        <v>2.41</v>
      </c>
      <c r="L53" s="20">
        <v>25.72</v>
      </c>
      <c r="M53" s="20">
        <v>0.04</v>
      </c>
      <c r="N53" s="20">
        <v>90</v>
      </c>
      <c r="O53" s="20">
        <v>4.95</v>
      </c>
      <c r="P53" s="20">
        <v>6.28</v>
      </c>
      <c r="Q53" s="1">
        <v>2230</v>
      </c>
      <c r="R53" s="1">
        <v>1593</v>
      </c>
      <c r="S53" s="1">
        <v>6583</v>
      </c>
      <c r="T53" s="1">
        <v>3.55</v>
      </c>
      <c r="U53" s="1">
        <v>2.9060000000000001</v>
      </c>
      <c r="V53" s="3">
        <f t="shared" si="8"/>
        <v>95.422909628513921</v>
      </c>
      <c r="W53" s="3">
        <f t="shared" si="9"/>
        <v>83.271485219337507</v>
      </c>
      <c r="X53" s="5">
        <f t="shared" si="5"/>
        <v>54.966724180428891</v>
      </c>
      <c r="Y53" s="5">
        <f t="shared" si="1"/>
        <v>50.015698587127154</v>
      </c>
      <c r="Z53" s="2">
        <f t="shared" si="2"/>
        <v>1.1427546536505375</v>
      </c>
      <c r="AA53" s="13">
        <v>1.82</v>
      </c>
      <c r="AB53" s="1">
        <v>45</v>
      </c>
    </row>
    <row r="54" spans="1:28" x14ac:dyDescent="0.25">
      <c r="A54" s="10">
        <v>43001</v>
      </c>
      <c r="B54" s="20">
        <v>0.2</v>
      </c>
      <c r="C54" s="20">
        <v>7.2</v>
      </c>
      <c r="D54" s="20">
        <v>0.02</v>
      </c>
      <c r="E54" s="20">
        <v>0.75</v>
      </c>
      <c r="F54" s="20">
        <v>0.6</v>
      </c>
      <c r="G54" s="20">
        <v>0.46</v>
      </c>
      <c r="H54" s="20">
        <v>11.72</v>
      </c>
      <c r="I54" s="20">
        <v>11.27</v>
      </c>
      <c r="J54" s="20">
        <v>9.75</v>
      </c>
      <c r="K54" s="20">
        <v>2.4</v>
      </c>
      <c r="L54" s="20">
        <v>19.45</v>
      </c>
      <c r="M54" s="20">
        <v>0.04</v>
      </c>
      <c r="N54" s="20">
        <v>90</v>
      </c>
      <c r="O54" s="20">
        <v>4.9000000000000004</v>
      </c>
      <c r="P54" s="20">
        <v>5.68</v>
      </c>
      <c r="Q54" s="1">
        <v>2027</v>
      </c>
      <c r="R54" s="1">
        <v>1274</v>
      </c>
      <c r="S54" s="1">
        <v>6669</v>
      </c>
      <c r="T54" s="1">
        <v>3.2440000000000002</v>
      </c>
      <c r="U54" s="1">
        <v>2.6059999999999999</v>
      </c>
      <c r="V54" s="3">
        <f t="shared" si="8"/>
        <v>93.694087463962205</v>
      </c>
      <c r="W54" s="3">
        <f t="shared" si="9"/>
        <v>73.305118342885436</v>
      </c>
      <c r="X54" s="5">
        <f t="shared" si="5"/>
        <v>49.963026867143206</v>
      </c>
      <c r="Y54" s="5">
        <f t="shared" si="1"/>
        <v>40</v>
      </c>
      <c r="Z54" s="2">
        <f t="shared" si="2"/>
        <v>1.2988178002755262</v>
      </c>
      <c r="AA54" s="13">
        <v>1.36</v>
      </c>
      <c r="AB54" s="13">
        <v>100</v>
      </c>
    </row>
    <row r="55" spans="1:28" x14ac:dyDescent="0.25">
      <c r="A55" s="10">
        <v>43006</v>
      </c>
      <c r="B55" s="20">
        <v>0.2</v>
      </c>
      <c r="C55" s="20">
        <v>7.21</v>
      </c>
      <c r="D55" s="20">
        <v>0.02</v>
      </c>
      <c r="E55" s="20">
        <v>0.55000000000000004</v>
      </c>
      <c r="F55" s="20">
        <v>0.6</v>
      </c>
      <c r="G55" s="20">
        <v>0.45</v>
      </c>
      <c r="H55" s="20">
        <v>10.68</v>
      </c>
      <c r="I55" s="20">
        <v>8</v>
      </c>
      <c r="J55" s="20">
        <v>9.76</v>
      </c>
      <c r="K55" s="20">
        <v>2.39</v>
      </c>
      <c r="L55" s="20">
        <v>12.61</v>
      </c>
      <c r="M55" s="20">
        <v>0.04</v>
      </c>
      <c r="N55" s="20">
        <v>90</v>
      </c>
      <c r="O55" s="20">
        <v>4.9000000000000004</v>
      </c>
      <c r="P55" s="20">
        <v>5.07</v>
      </c>
      <c r="Q55" s="1">
        <v>2027</v>
      </c>
      <c r="R55" s="1">
        <v>1274</v>
      </c>
      <c r="S55" s="1">
        <v>6628</v>
      </c>
      <c r="T55" s="1">
        <v>3.6680000000000001</v>
      </c>
      <c r="U55" s="1">
        <v>3.028</v>
      </c>
      <c r="V55" s="3">
        <f t="shared" si="8"/>
        <v>83.376166279140932</v>
      </c>
      <c r="W55" s="3">
        <f t="shared" si="9"/>
        <v>63.479143364406561</v>
      </c>
      <c r="X55" s="5">
        <f t="shared" si="5"/>
        <v>49.963026867143206</v>
      </c>
      <c r="Y55" s="5">
        <f t="shared" si="1"/>
        <v>40</v>
      </c>
      <c r="Z55" s="2">
        <f t="shared" si="2"/>
        <v>1.2988178002755262</v>
      </c>
      <c r="AA55" s="13">
        <v>1.8</v>
      </c>
      <c r="AB55" s="1">
        <v>91</v>
      </c>
    </row>
    <row r="56" spans="1:28" x14ac:dyDescent="0.25">
      <c r="A56" s="10">
        <v>43009</v>
      </c>
      <c r="B56" s="20">
        <v>0.24</v>
      </c>
      <c r="C56" s="20">
        <v>7.21</v>
      </c>
      <c r="D56" s="20">
        <v>0.03</v>
      </c>
      <c r="E56" s="20">
        <v>0.65</v>
      </c>
      <c r="F56" s="20">
        <v>0.6</v>
      </c>
      <c r="G56" s="20">
        <v>0.44</v>
      </c>
      <c r="H56" s="20">
        <v>11.86</v>
      </c>
      <c r="I56" s="20">
        <v>10.41</v>
      </c>
      <c r="J56" s="20">
        <v>9.77</v>
      </c>
      <c r="K56" s="20">
        <v>2.38</v>
      </c>
      <c r="L56" s="20">
        <v>16.88</v>
      </c>
      <c r="M56" s="20">
        <v>0.04</v>
      </c>
      <c r="N56" s="20">
        <v>90</v>
      </c>
      <c r="O56" s="20">
        <v>4.9000000000000004</v>
      </c>
      <c r="P56" s="20">
        <v>5.4</v>
      </c>
      <c r="Q56" s="1">
        <v>2027</v>
      </c>
      <c r="R56" s="1">
        <v>1274</v>
      </c>
      <c r="S56" s="1">
        <v>6310</v>
      </c>
      <c r="T56" s="1">
        <v>3.4990000000000001</v>
      </c>
      <c r="U56" s="1">
        <v>2.9</v>
      </c>
      <c r="V56" s="3">
        <f t="shared" si="8"/>
        <v>91.807983172914689</v>
      </c>
      <c r="W56" s="3">
        <f t="shared" si="9"/>
        <v>69.621290780916993</v>
      </c>
      <c r="X56" s="5">
        <f t="shared" si="5"/>
        <v>49.963026867143206</v>
      </c>
      <c r="Y56" s="5">
        <f t="shared" si="1"/>
        <v>40</v>
      </c>
      <c r="Z56" s="2">
        <f t="shared" si="2"/>
        <v>1.2988178002755262</v>
      </c>
      <c r="AA56" s="13">
        <v>2.2000000000000002</v>
      </c>
      <c r="AB56" s="1">
        <v>43</v>
      </c>
    </row>
    <row r="57" spans="1:28" x14ac:dyDescent="0.25">
      <c r="A57" s="10">
        <v>43012</v>
      </c>
      <c r="B57" s="20">
        <v>0.73</v>
      </c>
      <c r="C57" s="20">
        <v>7.22</v>
      </c>
      <c r="D57" s="20">
        <v>0.05</v>
      </c>
      <c r="E57" s="20">
        <v>1.65</v>
      </c>
      <c r="F57" s="20">
        <v>1.51</v>
      </c>
      <c r="G57" s="20">
        <v>0.44</v>
      </c>
      <c r="H57" s="20">
        <v>13.99</v>
      </c>
      <c r="I57" s="20">
        <v>15.61</v>
      </c>
      <c r="J57" s="20">
        <v>24.64</v>
      </c>
      <c r="K57" s="20">
        <v>4.7699999999999996</v>
      </c>
      <c r="L57" s="20">
        <v>24.7</v>
      </c>
      <c r="M57" s="20">
        <v>0.06</v>
      </c>
      <c r="N57" s="20">
        <v>129.66999999999999</v>
      </c>
      <c r="O57" s="20">
        <v>5.7</v>
      </c>
      <c r="P57" s="20">
        <v>6.09</v>
      </c>
      <c r="Q57" s="1">
        <v>2027</v>
      </c>
      <c r="R57" s="1">
        <v>1274</v>
      </c>
      <c r="S57" s="1">
        <v>5551</v>
      </c>
      <c r="T57" s="1">
        <v>3.5259999999999998</v>
      </c>
      <c r="U57" s="1">
        <v>2.7959999999999998</v>
      </c>
      <c r="V57" s="3">
        <f t="shared" si="8"/>
        <v>103.56194859137869</v>
      </c>
      <c r="W57" s="3">
        <f t="shared" si="9"/>
        <v>82.084476652829565</v>
      </c>
      <c r="X57" s="5">
        <f t="shared" si="5"/>
        <v>49.963026867143206</v>
      </c>
      <c r="Y57" s="5">
        <f t="shared" si="1"/>
        <v>40</v>
      </c>
      <c r="Z57" s="2">
        <f t="shared" si="2"/>
        <v>1.2988178002755262</v>
      </c>
      <c r="AA57" s="13">
        <v>1.25</v>
      </c>
      <c r="AB57" s="1">
        <v>31</v>
      </c>
    </row>
    <row r="58" spans="1:28" x14ac:dyDescent="0.25">
      <c r="A58" s="10">
        <v>43018</v>
      </c>
      <c r="B58" s="20">
        <v>0.32</v>
      </c>
      <c r="C58" s="20">
        <v>7.23</v>
      </c>
      <c r="D58" s="20">
        <v>0.03</v>
      </c>
      <c r="E58" s="20">
        <v>0.56000000000000005</v>
      </c>
      <c r="F58" s="20">
        <v>0.6</v>
      </c>
      <c r="G58" s="20">
        <v>0.43</v>
      </c>
      <c r="H58" s="20">
        <v>12.16</v>
      </c>
      <c r="I58" s="20">
        <v>9.7200000000000006</v>
      </c>
      <c r="J58" s="20">
        <v>9.8000000000000007</v>
      </c>
      <c r="K58" s="20">
        <v>2.36</v>
      </c>
      <c r="L58" s="20">
        <v>14.86</v>
      </c>
      <c r="M58" s="20">
        <v>0.04</v>
      </c>
      <c r="N58" s="20">
        <v>90</v>
      </c>
      <c r="O58" s="20">
        <v>4.9000000000000004</v>
      </c>
      <c r="P58" s="20">
        <v>5.12</v>
      </c>
      <c r="Q58" s="1">
        <v>2027</v>
      </c>
      <c r="R58" s="1">
        <v>1258</v>
      </c>
      <c r="S58" s="1">
        <v>6091</v>
      </c>
      <c r="T58" s="1">
        <v>3.7309999999999999</v>
      </c>
      <c r="U58" s="1">
        <v>3.1059999999999999</v>
      </c>
      <c r="V58" s="3">
        <f t="shared" si="8"/>
        <v>89.19487478416886</v>
      </c>
      <c r="W58" s="3">
        <f t="shared" si="9"/>
        <v>66.495244955690808</v>
      </c>
      <c r="X58" s="5">
        <f t="shared" si="5"/>
        <v>49.963026867143206</v>
      </c>
      <c r="Y58" s="5">
        <f t="shared" si="1"/>
        <v>39.497645211930923</v>
      </c>
      <c r="Z58" s="2">
        <f t="shared" si="2"/>
        <v>1.3153369455890465</v>
      </c>
      <c r="AA58" s="13">
        <v>2.2799999999999998</v>
      </c>
      <c r="AB58" s="1">
        <v>17</v>
      </c>
    </row>
    <row r="59" spans="1:28" x14ac:dyDescent="0.25">
      <c r="A59" s="10">
        <v>43020</v>
      </c>
      <c r="B59" s="20">
        <v>0.26</v>
      </c>
      <c r="C59" s="20">
        <v>7.24</v>
      </c>
      <c r="D59" s="20">
        <v>0.03</v>
      </c>
      <c r="E59" s="20">
        <v>1.2</v>
      </c>
      <c r="F59" s="20">
        <v>1.29</v>
      </c>
      <c r="G59" s="20">
        <v>0.43</v>
      </c>
      <c r="H59" s="20">
        <v>13.12</v>
      </c>
      <c r="I59" s="20">
        <v>11.89</v>
      </c>
      <c r="J59" s="20">
        <v>21.09</v>
      </c>
      <c r="K59" s="20">
        <v>4.1500000000000004</v>
      </c>
      <c r="L59" s="20">
        <v>16.79</v>
      </c>
      <c r="M59" s="20">
        <v>0.04</v>
      </c>
      <c r="N59" s="20">
        <v>114.49</v>
      </c>
      <c r="O59" s="20">
        <v>4.9000000000000004</v>
      </c>
      <c r="P59" s="20">
        <v>5.4</v>
      </c>
      <c r="Q59" s="1">
        <v>2204</v>
      </c>
      <c r="R59" s="1">
        <v>1258</v>
      </c>
      <c r="S59" s="1">
        <v>6303</v>
      </c>
      <c r="T59" s="1">
        <v>3.4249999999999998</v>
      </c>
      <c r="U59" s="1">
        <v>2.7850000000000001</v>
      </c>
      <c r="V59" s="3">
        <f t="shared" si="8"/>
        <v>102.09481986911575</v>
      </c>
      <c r="W59" s="3">
        <f t="shared" si="9"/>
        <v>71.665169844458674</v>
      </c>
      <c r="X59" s="5">
        <f t="shared" si="5"/>
        <v>54.325856544244516</v>
      </c>
      <c r="Y59" s="5">
        <f t="shared" si="1"/>
        <v>39.497645211930923</v>
      </c>
      <c r="Z59" s="2">
        <f t="shared" si="2"/>
        <v>1.430193699101262</v>
      </c>
      <c r="AA59" s="13">
        <v>2.4</v>
      </c>
      <c r="AB59" s="1">
        <v>38</v>
      </c>
    </row>
    <row r="60" spans="1:28" x14ac:dyDescent="0.25">
      <c r="A60" s="10">
        <v>43024</v>
      </c>
      <c r="B60" s="20">
        <v>0.69</v>
      </c>
      <c r="C60" s="20">
        <v>7.25</v>
      </c>
      <c r="D60" s="20">
        <v>0.05</v>
      </c>
      <c r="E60" s="20">
        <v>2.27</v>
      </c>
      <c r="F60" s="20">
        <v>2.76</v>
      </c>
      <c r="G60" s="20">
        <v>0.42</v>
      </c>
      <c r="H60" s="20">
        <v>13.57</v>
      </c>
      <c r="I60" s="20">
        <v>12.35</v>
      </c>
      <c r="J60" s="20">
        <v>45.13</v>
      </c>
      <c r="K60" s="20">
        <v>7.9</v>
      </c>
      <c r="L60" s="20">
        <v>10.99</v>
      </c>
      <c r="M60" s="20">
        <v>0.06</v>
      </c>
      <c r="N60" s="20">
        <v>177.36</v>
      </c>
      <c r="O60" s="20">
        <v>5.43</v>
      </c>
      <c r="P60" s="20">
        <v>5.38</v>
      </c>
      <c r="Q60" s="1">
        <v>2027</v>
      </c>
      <c r="R60" s="1">
        <v>1054</v>
      </c>
      <c r="S60" s="1">
        <v>5459</v>
      </c>
      <c r="T60" s="1">
        <v>3.319</v>
      </c>
      <c r="U60" s="1">
        <v>2.669</v>
      </c>
      <c r="V60" s="3">
        <f t="shared" si="8"/>
        <v>111.87509110203368</v>
      </c>
      <c r="W60" s="3">
        <f t="shared" si="9"/>
        <v>72.340073016802734</v>
      </c>
      <c r="X60" s="5">
        <f t="shared" si="5"/>
        <v>49.963026867143206</v>
      </c>
      <c r="Y60" s="5">
        <f t="shared" si="1"/>
        <v>33.092621664050235</v>
      </c>
      <c r="Z60" s="2">
        <f t="shared" si="2"/>
        <v>1.5699182898966038</v>
      </c>
      <c r="AA60" s="13">
        <v>2.13</v>
      </c>
      <c r="AB60" s="1">
        <v>35</v>
      </c>
    </row>
    <row r="61" spans="1:28" x14ac:dyDescent="0.25">
      <c r="A61" s="10">
        <v>43027</v>
      </c>
      <c r="B61" s="20">
        <v>0.79</v>
      </c>
      <c r="C61" s="20">
        <v>7.26</v>
      </c>
      <c r="D61" s="20">
        <v>0.05</v>
      </c>
      <c r="E61" s="20">
        <v>2.89</v>
      </c>
      <c r="F61" s="20">
        <v>3.07</v>
      </c>
      <c r="G61" s="20">
        <v>0.48</v>
      </c>
      <c r="H61" s="20">
        <v>15.98</v>
      </c>
      <c r="I61" s="20">
        <v>18.149999999999999</v>
      </c>
      <c r="J61" s="20">
        <v>50.4</v>
      </c>
      <c r="K61" s="20">
        <v>8.68</v>
      </c>
      <c r="L61" s="20">
        <v>23.23</v>
      </c>
      <c r="M61" s="20">
        <v>7.0000000000000007E-2</v>
      </c>
      <c r="N61" s="20">
        <v>201.37</v>
      </c>
      <c r="O61" s="20">
        <v>5.88</v>
      </c>
      <c r="P61" s="20">
        <v>6.15</v>
      </c>
      <c r="Q61" s="1">
        <v>2027</v>
      </c>
      <c r="R61" s="1">
        <v>1226</v>
      </c>
      <c r="S61" s="1">
        <v>5524</v>
      </c>
      <c r="T61" s="1">
        <v>3.2130000000000001</v>
      </c>
      <c r="U61" s="1">
        <v>2.5659999999999998</v>
      </c>
      <c r="V61" s="3">
        <f t="shared" si="8"/>
        <v>114.20611369497513</v>
      </c>
      <c r="W61" s="3">
        <f t="shared" si="9"/>
        <v>86.492838167243576</v>
      </c>
      <c r="X61" s="5">
        <f t="shared" si="5"/>
        <v>49.963026867143206</v>
      </c>
      <c r="Y61" s="5">
        <f t="shared" si="1"/>
        <v>38.492935635792776</v>
      </c>
      <c r="Z61" s="2">
        <f t="shared" si="2"/>
        <v>1.3496687418850084</v>
      </c>
      <c r="AA61" s="13">
        <v>2.56</v>
      </c>
      <c r="AB61" s="1">
        <v>58</v>
      </c>
    </row>
    <row r="62" spans="1:28" x14ac:dyDescent="0.25">
      <c r="A62" s="10">
        <v>43031</v>
      </c>
      <c r="B62" s="20">
        <v>0.24</v>
      </c>
      <c r="C62" s="20">
        <v>7.27</v>
      </c>
      <c r="D62" s="20">
        <v>0.03</v>
      </c>
      <c r="E62" s="20">
        <v>0.55000000000000004</v>
      </c>
      <c r="F62" s="20">
        <v>0.6</v>
      </c>
      <c r="G62" s="20">
        <v>0.41</v>
      </c>
      <c r="H62" s="20">
        <v>13.21</v>
      </c>
      <c r="I62" s="20">
        <v>9.9</v>
      </c>
      <c r="J62" s="20">
        <v>9.86</v>
      </c>
      <c r="K62" s="20">
        <v>2.3199999999999998</v>
      </c>
      <c r="L62" s="20">
        <v>15.78</v>
      </c>
      <c r="M62" s="20">
        <v>0.04</v>
      </c>
      <c r="N62" s="20">
        <v>90</v>
      </c>
      <c r="O62" s="20">
        <v>4.9000000000000004</v>
      </c>
      <c r="P62" s="20">
        <v>4.88</v>
      </c>
      <c r="Q62" s="1">
        <v>2230</v>
      </c>
      <c r="R62" s="1">
        <v>1400</v>
      </c>
      <c r="S62" s="6">
        <v>6229</v>
      </c>
      <c r="T62" s="1">
        <v>4.0599999999999996</v>
      </c>
      <c r="U62" s="1">
        <v>3.43</v>
      </c>
      <c r="V62" s="3">
        <f t="shared" si="8"/>
        <v>88.178051652567419</v>
      </c>
      <c r="W62" s="3">
        <f t="shared" si="9"/>
        <v>65.526290786020624</v>
      </c>
      <c r="X62" s="5">
        <f t="shared" si="5"/>
        <v>54.966724180428891</v>
      </c>
      <c r="Y62" s="5">
        <f t="shared" si="1"/>
        <v>43.956043956043956</v>
      </c>
      <c r="Z62" s="2">
        <f t="shared" si="2"/>
        <v>1.3002915451895043</v>
      </c>
      <c r="AA62" s="13">
        <v>1.91</v>
      </c>
      <c r="AB62" s="1">
        <v>42</v>
      </c>
    </row>
    <row r="63" spans="1:28" x14ac:dyDescent="0.25">
      <c r="A63" s="10">
        <v>43035</v>
      </c>
      <c r="B63" s="20">
        <v>1.91</v>
      </c>
      <c r="C63" s="20">
        <v>7.29</v>
      </c>
      <c r="D63" s="20">
        <v>0.1</v>
      </c>
      <c r="E63" s="20">
        <v>5.8</v>
      </c>
      <c r="F63" s="20">
        <v>6.7</v>
      </c>
      <c r="G63" s="20">
        <v>0.99</v>
      </c>
      <c r="H63" s="20">
        <v>22.06</v>
      </c>
      <c r="I63" s="20">
        <v>32.53</v>
      </c>
      <c r="J63" s="20">
        <v>110.29</v>
      </c>
      <c r="K63" s="20">
        <v>17.66</v>
      </c>
      <c r="L63" s="20">
        <v>28.69</v>
      </c>
      <c r="M63" s="20">
        <v>0.12</v>
      </c>
      <c r="N63" s="20">
        <v>386.45</v>
      </c>
      <c r="O63" s="20">
        <v>8.36</v>
      </c>
      <c r="P63" s="20">
        <v>8.0399999999999991</v>
      </c>
      <c r="Q63" s="1">
        <v>2230</v>
      </c>
      <c r="R63" s="1">
        <v>1433</v>
      </c>
      <c r="S63" s="6">
        <v>3913</v>
      </c>
      <c r="T63" s="1">
        <v>3.4750000000000001</v>
      </c>
      <c r="U63" s="1">
        <v>2.8559999999999999</v>
      </c>
      <c r="V63" s="3">
        <f t="shared" si="8"/>
        <v>163.99862476489545</v>
      </c>
      <c r="W63" s="3">
        <f t="shared" si="9"/>
        <v>128.2266037005142</v>
      </c>
      <c r="X63" s="5">
        <f t="shared" si="5"/>
        <v>54.966724180428891</v>
      </c>
      <c r="Y63" s="5">
        <f t="shared" si="1"/>
        <v>44.992150706436419</v>
      </c>
      <c r="Z63" s="2">
        <f t="shared" si="2"/>
        <v>1.2703476366122164</v>
      </c>
      <c r="AA63" s="13">
        <v>3.36</v>
      </c>
      <c r="AB63" s="1">
        <v>71</v>
      </c>
    </row>
    <row r="64" spans="1:28" x14ac:dyDescent="0.25">
      <c r="A64" s="10">
        <v>43038</v>
      </c>
      <c r="B64" s="20">
        <v>0.75</v>
      </c>
      <c r="C64" s="20">
        <v>7.3</v>
      </c>
      <c r="D64" s="20">
        <v>0.05</v>
      </c>
      <c r="E64" s="20">
        <v>2.36</v>
      </c>
      <c r="F64" s="20">
        <v>3.07</v>
      </c>
      <c r="G64" s="20">
        <v>0.41</v>
      </c>
      <c r="H64" s="20">
        <v>14.21</v>
      </c>
      <c r="I64" s="20">
        <v>10.83</v>
      </c>
      <c r="J64" s="20">
        <v>50.69</v>
      </c>
      <c r="K64" s="20">
        <v>8.48</v>
      </c>
      <c r="L64" s="20">
        <v>6.17</v>
      </c>
      <c r="M64" s="20">
        <v>7.0000000000000007E-2</v>
      </c>
      <c r="N64" s="20">
        <v>189.05</v>
      </c>
      <c r="O64" s="20">
        <v>5.42</v>
      </c>
      <c r="P64" s="20">
        <v>4.8499999999999996</v>
      </c>
      <c r="Q64" s="1">
        <v>2230</v>
      </c>
      <c r="R64" s="1">
        <v>1146</v>
      </c>
      <c r="S64" s="1">
        <v>5244</v>
      </c>
      <c r="T64" s="1">
        <v>3.8679999999999999</v>
      </c>
      <c r="U64" s="1">
        <v>3.2480000000000002</v>
      </c>
      <c r="V64" s="3">
        <f t="shared" si="8"/>
        <v>109.93999544069473</v>
      </c>
      <c r="W64" s="3">
        <f t="shared" si="9"/>
        <v>67.283087779418551</v>
      </c>
      <c r="X64" s="5">
        <f t="shared" si="5"/>
        <v>54.966724180428891</v>
      </c>
      <c r="Y64" s="5">
        <f t="shared" si="1"/>
        <v>35.981161695447405</v>
      </c>
      <c r="Z64" s="2">
        <f t="shared" si="2"/>
        <v>1.5884887986608256</v>
      </c>
      <c r="AA64" s="13">
        <v>1.73</v>
      </c>
      <c r="AB64" s="1">
        <v>76</v>
      </c>
    </row>
    <row r="65" spans="1:28" x14ac:dyDescent="0.25">
      <c r="A65" s="10">
        <v>43041</v>
      </c>
      <c r="B65" s="20">
        <v>0.2</v>
      </c>
      <c r="C65" s="20">
        <v>7.32</v>
      </c>
      <c r="D65" s="20">
        <v>0.02</v>
      </c>
      <c r="E65" s="20">
        <v>1.32</v>
      </c>
      <c r="F65" s="20">
        <v>1.91</v>
      </c>
      <c r="G65" s="20">
        <v>0.41</v>
      </c>
      <c r="H65" s="20">
        <v>13.72</v>
      </c>
      <c r="I65" s="20">
        <v>8.7200000000000006</v>
      </c>
      <c r="J65" s="20">
        <v>31.6</v>
      </c>
      <c r="K65" s="20">
        <v>5.54</v>
      </c>
      <c r="L65" s="20">
        <v>5.58</v>
      </c>
      <c r="M65" s="20">
        <v>0.04</v>
      </c>
      <c r="N65" s="20">
        <v>136.56</v>
      </c>
      <c r="O65" s="20">
        <v>4.9000000000000004</v>
      </c>
      <c r="P65" s="20">
        <v>4.47</v>
      </c>
      <c r="Q65" s="1">
        <v>2230</v>
      </c>
      <c r="R65" s="1">
        <v>1060</v>
      </c>
      <c r="S65" s="1">
        <v>6446</v>
      </c>
      <c r="T65" s="1">
        <v>3.39</v>
      </c>
      <c r="U65" s="1">
        <v>2.75</v>
      </c>
      <c r="V65" s="1">
        <f t="shared" si="8"/>
        <v>102.05043579654712</v>
      </c>
      <c r="W65" s="1">
        <f t="shared" si="9"/>
        <v>59.797478351620455</v>
      </c>
      <c r="X65" s="1">
        <f t="shared" si="5"/>
        <v>54.966724180428891</v>
      </c>
      <c r="Y65" s="1">
        <f t="shared" si="1"/>
        <v>33.281004709576138</v>
      </c>
      <c r="Z65" s="2">
        <f t="shared" si="2"/>
        <v>1.7173661917597227</v>
      </c>
      <c r="AA65" s="13">
        <v>1.52</v>
      </c>
      <c r="AB65" s="13">
        <v>100</v>
      </c>
    </row>
    <row r="66" spans="1:28" x14ac:dyDescent="0.25">
      <c r="A66" s="10">
        <v>43044</v>
      </c>
      <c r="B66" s="20">
        <v>0.2</v>
      </c>
      <c r="C66" s="20">
        <v>7.33</v>
      </c>
      <c r="D66" s="20">
        <v>0.02</v>
      </c>
      <c r="E66" s="20">
        <v>0.55000000000000004</v>
      </c>
      <c r="F66" s="20">
        <v>0.6</v>
      </c>
      <c r="G66" s="20">
        <v>0.41</v>
      </c>
      <c r="H66" s="20">
        <v>14.07</v>
      </c>
      <c r="I66" s="20">
        <v>8.81</v>
      </c>
      <c r="J66" s="20">
        <v>9.93</v>
      </c>
      <c r="K66" s="20">
        <v>2.27</v>
      </c>
      <c r="L66" s="20">
        <v>15.89</v>
      </c>
      <c r="M66" s="20">
        <v>0.04</v>
      </c>
      <c r="N66" s="20">
        <v>90</v>
      </c>
      <c r="O66" s="20">
        <v>4.9000000000000004</v>
      </c>
      <c r="P66" s="20">
        <v>4.41</v>
      </c>
      <c r="Q66" s="1">
        <v>2230</v>
      </c>
      <c r="R66" s="1">
        <v>1073</v>
      </c>
      <c r="S66" s="1">
        <v>6913</v>
      </c>
      <c r="T66" s="1">
        <v>4</v>
      </c>
      <c r="U66" s="1">
        <v>3.41</v>
      </c>
      <c r="V66" s="1">
        <f t="shared" si="8"/>
        <v>80.645161290322577</v>
      </c>
      <c r="W66" s="1">
        <f t="shared" si="9"/>
        <v>45.517540372955366</v>
      </c>
      <c r="X66" s="1">
        <f t="shared" si="5"/>
        <v>54.966724180428891</v>
      </c>
      <c r="Y66" s="1">
        <f t="shared" ref="Y66:Y112" si="10">R66/31.85</f>
        <v>33.68916797488226</v>
      </c>
      <c r="Z66" s="2">
        <f t="shared" ref="Z66:Z112" si="11">(Q66*40)/(R66*49)</f>
        <v>1.6965593320273122</v>
      </c>
      <c r="AA66" s="13">
        <v>1.38</v>
      </c>
      <c r="AB66" s="1">
        <v>40</v>
      </c>
    </row>
    <row r="67" spans="1:28" x14ac:dyDescent="0.25">
      <c r="A67" s="10">
        <v>43048</v>
      </c>
      <c r="B67" s="20">
        <v>0.2</v>
      </c>
      <c r="C67" s="20">
        <v>7.35</v>
      </c>
      <c r="D67" s="20">
        <v>0.02</v>
      </c>
      <c r="E67" s="20">
        <v>0.55000000000000004</v>
      </c>
      <c r="F67" s="20">
        <v>0.6</v>
      </c>
      <c r="G67" s="20">
        <v>0.41</v>
      </c>
      <c r="H67" s="20">
        <v>14.57</v>
      </c>
      <c r="I67" s="20">
        <v>8.93</v>
      </c>
      <c r="J67" s="20">
        <v>9.9600000000000009</v>
      </c>
      <c r="K67" s="20">
        <v>2.25</v>
      </c>
      <c r="L67" s="20">
        <v>16.38</v>
      </c>
      <c r="M67" s="20">
        <v>0.04</v>
      </c>
      <c r="N67" s="20">
        <v>90</v>
      </c>
      <c r="O67" s="20">
        <v>4.9000000000000004</v>
      </c>
      <c r="P67" s="20">
        <v>4.33</v>
      </c>
      <c r="Q67" s="1">
        <v>2230</v>
      </c>
      <c r="R67" s="1">
        <v>1076</v>
      </c>
      <c r="S67" s="1">
        <v>7901</v>
      </c>
      <c r="T67" s="1">
        <v>3.7280000000000002</v>
      </c>
      <c r="U67" s="1">
        <v>3.0979999999999999</v>
      </c>
      <c r="V67" s="6">
        <f t="shared" si="8"/>
        <v>75.708893262275168</v>
      </c>
      <c r="W67" s="6">
        <f t="shared" si="9"/>
        <v>43.95910038763266</v>
      </c>
      <c r="X67" s="1">
        <f t="shared" si="5"/>
        <v>54.966724180428891</v>
      </c>
      <c r="Y67" s="1">
        <f t="shared" si="10"/>
        <v>33.783359497645208</v>
      </c>
      <c r="Z67" s="2">
        <f t="shared" si="11"/>
        <v>1.6918291480160839</v>
      </c>
      <c r="AA67" s="13">
        <v>1.36</v>
      </c>
      <c r="AB67" s="1">
        <v>54</v>
      </c>
    </row>
    <row r="68" spans="1:28" x14ac:dyDescent="0.25">
      <c r="A68" s="10">
        <v>43052</v>
      </c>
      <c r="B68" s="20">
        <v>0.2</v>
      </c>
      <c r="C68" s="20">
        <v>7.38</v>
      </c>
      <c r="D68" s="20">
        <v>0.02</v>
      </c>
      <c r="E68" s="20">
        <v>1.57</v>
      </c>
      <c r="F68" s="20">
        <v>2.12</v>
      </c>
      <c r="G68" s="20">
        <v>0.4</v>
      </c>
      <c r="H68" s="20">
        <v>15.3</v>
      </c>
      <c r="I68" s="20">
        <v>9.59</v>
      </c>
      <c r="J68" s="20">
        <v>35.33</v>
      </c>
      <c r="K68" s="20">
        <v>5.88</v>
      </c>
      <c r="L68" s="20">
        <v>8.42</v>
      </c>
      <c r="M68" s="20">
        <v>0.04</v>
      </c>
      <c r="N68" s="20">
        <v>147.80000000000001</v>
      </c>
      <c r="O68" s="20">
        <v>4.9000000000000004</v>
      </c>
      <c r="P68" s="20">
        <v>4.32</v>
      </c>
      <c r="Q68" s="1">
        <v>2230</v>
      </c>
      <c r="R68" s="1">
        <v>1093</v>
      </c>
      <c r="S68" s="1">
        <v>7095</v>
      </c>
      <c r="T68" s="1">
        <v>3.09</v>
      </c>
      <c r="U68" s="1">
        <v>2.44</v>
      </c>
      <c r="V68" s="1">
        <f t="shared" si="8"/>
        <v>101.71710329759551</v>
      </c>
      <c r="W68" s="1">
        <f t="shared" si="9"/>
        <v>63.136126803683041</v>
      </c>
      <c r="X68" s="1">
        <f t="shared" si="5"/>
        <v>54.966724180428891</v>
      </c>
      <c r="Y68" s="1">
        <f t="shared" si="10"/>
        <v>34.317111459968601</v>
      </c>
      <c r="Z68" s="2">
        <f t="shared" si="11"/>
        <v>1.6655152454394384</v>
      </c>
      <c r="AA68" s="13">
        <v>1.64</v>
      </c>
      <c r="AB68" s="13">
        <v>137</v>
      </c>
    </row>
    <row r="69" spans="1:28" x14ac:dyDescent="0.25">
      <c r="A69" s="10">
        <v>43056</v>
      </c>
      <c r="B69" s="20">
        <v>0.2</v>
      </c>
      <c r="C69" s="20">
        <v>7.4</v>
      </c>
      <c r="D69" s="20">
        <v>0.02</v>
      </c>
      <c r="E69" s="20">
        <v>0.7</v>
      </c>
      <c r="F69" s="20">
        <v>1.1499999999999999</v>
      </c>
      <c r="G69" s="20">
        <v>0.4</v>
      </c>
      <c r="H69" s="20">
        <v>15.65</v>
      </c>
      <c r="I69" s="20">
        <v>9.18</v>
      </c>
      <c r="J69" s="20">
        <v>19.13</v>
      </c>
      <c r="K69" s="20">
        <v>3.5</v>
      </c>
      <c r="L69" s="20">
        <v>9.5</v>
      </c>
      <c r="M69" s="20">
        <v>0.04</v>
      </c>
      <c r="N69" s="20">
        <v>105.74</v>
      </c>
      <c r="O69" s="20">
        <v>4.9000000000000004</v>
      </c>
      <c r="P69" s="20">
        <v>4.1500000000000004</v>
      </c>
      <c r="Q69" s="1">
        <v>2230</v>
      </c>
      <c r="R69" s="1">
        <v>1093</v>
      </c>
      <c r="S69" s="1">
        <v>7540</v>
      </c>
      <c r="T69" s="1">
        <v>3.2</v>
      </c>
      <c r="U69" s="1">
        <v>2.5299999999999998</v>
      </c>
      <c r="V69" s="1">
        <f t="shared" si="8"/>
        <v>92.423740053050395</v>
      </c>
      <c r="W69" s="1">
        <f t="shared" si="9"/>
        <v>57.296526561893884</v>
      </c>
      <c r="X69" s="1">
        <f t="shared" si="5"/>
        <v>54.966724180428891</v>
      </c>
      <c r="Y69" s="1">
        <f t="shared" si="10"/>
        <v>34.317111459968601</v>
      </c>
      <c r="Z69" s="2">
        <f t="shared" si="11"/>
        <v>1.6655152454394384</v>
      </c>
      <c r="AA69" s="13">
        <v>1.6</v>
      </c>
      <c r="AB69" s="1">
        <v>21</v>
      </c>
    </row>
    <row r="70" spans="1:28" x14ac:dyDescent="0.25">
      <c r="A70" s="10">
        <v>43062</v>
      </c>
      <c r="B70" s="20">
        <v>0.32</v>
      </c>
      <c r="C70" s="20">
        <v>7.44</v>
      </c>
      <c r="D70" s="20">
        <v>0.03</v>
      </c>
      <c r="E70" s="20">
        <v>3.3</v>
      </c>
      <c r="F70" s="20">
        <v>4.2</v>
      </c>
      <c r="G70" s="20">
        <v>0.4</v>
      </c>
      <c r="H70" s="20">
        <v>17.989999999999998</v>
      </c>
      <c r="I70" s="20">
        <v>13.37</v>
      </c>
      <c r="J70" s="20">
        <v>70.34</v>
      </c>
      <c r="K70" s="20">
        <v>10.47</v>
      </c>
      <c r="L70" s="20">
        <v>8.35</v>
      </c>
      <c r="M70" s="20">
        <v>0.04</v>
      </c>
      <c r="N70" s="20">
        <v>242.35</v>
      </c>
      <c r="O70" s="20">
        <v>4.9000000000000004</v>
      </c>
      <c r="P70" s="20">
        <v>4.5999999999999996</v>
      </c>
      <c r="Q70" s="1">
        <v>2230</v>
      </c>
      <c r="R70" s="1">
        <v>1115</v>
      </c>
      <c r="S70" s="1">
        <v>6190</v>
      </c>
      <c r="T70" s="1">
        <v>3.1739999999999999</v>
      </c>
      <c r="U70" s="1">
        <v>2.5099999999999998</v>
      </c>
      <c r="V70" s="1">
        <f t="shared" si="8"/>
        <v>113.50298721538998</v>
      </c>
      <c r="W70" s="1">
        <f t="shared" si="9"/>
        <v>71.764637733395986</v>
      </c>
      <c r="X70" s="1">
        <f t="shared" si="5"/>
        <v>54.966724180428891</v>
      </c>
      <c r="Y70" s="1">
        <f t="shared" si="10"/>
        <v>35.007849293563581</v>
      </c>
      <c r="Z70" s="2">
        <f t="shared" si="11"/>
        <v>1.6326530612244898</v>
      </c>
      <c r="AA70" s="13">
        <v>1.78</v>
      </c>
      <c r="AB70" s="1">
        <v>76</v>
      </c>
    </row>
    <row r="71" spans="1:28" x14ac:dyDescent="0.25">
      <c r="A71" s="10">
        <v>43066</v>
      </c>
      <c r="B71" s="20">
        <v>0.44</v>
      </c>
      <c r="C71" s="20">
        <v>7.46</v>
      </c>
      <c r="D71" s="20">
        <v>0.03</v>
      </c>
      <c r="E71" s="20">
        <v>5.08</v>
      </c>
      <c r="F71" s="20">
        <v>6.31</v>
      </c>
      <c r="G71" s="20">
        <v>0.4</v>
      </c>
      <c r="H71" s="20">
        <v>19.97</v>
      </c>
      <c r="I71" s="20">
        <v>17.29</v>
      </c>
      <c r="J71" s="20">
        <v>106.15</v>
      </c>
      <c r="K71" s="20">
        <v>15.13</v>
      </c>
      <c r="L71" s="20">
        <v>12.56</v>
      </c>
      <c r="M71" s="20">
        <v>0.05</v>
      </c>
      <c r="N71" s="20">
        <v>338.52</v>
      </c>
      <c r="O71" s="20">
        <v>5.23</v>
      </c>
      <c r="P71" s="20">
        <v>5.0599999999999996</v>
      </c>
      <c r="Q71" s="1">
        <v>2230</v>
      </c>
      <c r="R71" s="1">
        <v>1059</v>
      </c>
      <c r="S71" s="1">
        <v>6123</v>
      </c>
      <c r="T71" s="1">
        <v>2.78</v>
      </c>
      <c r="U71" s="1">
        <v>2.13</v>
      </c>
      <c r="V71" s="1">
        <f t="shared" si="8"/>
        <v>131.00739398681938</v>
      </c>
      <c r="W71" s="1">
        <f t="shared" si="9"/>
        <v>81.199264836117806</v>
      </c>
      <c r="X71" s="1">
        <f t="shared" si="5"/>
        <v>54.966724180428891</v>
      </c>
      <c r="Y71" s="1">
        <f t="shared" si="10"/>
        <v>33.249607535321822</v>
      </c>
      <c r="Z71" s="2">
        <f t="shared" si="11"/>
        <v>1.7189878784374939</v>
      </c>
      <c r="AA71" s="13">
        <v>1.84</v>
      </c>
      <c r="AB71" s="1">
        <v>98</v>
      </c>
    </row>
    <row r="72" spans="1:28" x14ac:dyDescent="0.25">
      <c r="A72" s="10">
        <v>43070</v>
      </c>
      <c r="B72" s="20">
        <v>0.2</v>
      </c>
      <c r="C72" s="20">
        <v>7.48</v>
      </c>
      <c r="D72" s="20">
        <v>0.02</v>
      </c>
      <c r="E72" s="20">
        <v>0.55000000000000004</v>
      </c>
      <c r="F72" s="20">
        <v>0.97</v>
      </c>
      <c r="G72" s="20">
        <v>0.4</v>
      </c>
      <c r="H72" s="20">
        <v>17.59</v>
      </c>
      <c r="I72" s="20">
        <v>9.6300000000000008</v>
      </c>
      <c r="J72" s="20">
        <v>16.43</v>
      </c>
      <c r="K72" s="20">
        <v>2.98</v>
      </c>
      <c r="L72" s="20">
        <v>11.75</v>
      </c>
      <c r="M72" s="20">
        <v>0.04</v>
      </c>
      <c r="N72" s="20">
        <v>100.44</v>
      </c>
      <c r="O72" s="20">
        <v>4.9000000000000004</v>
      </c>
      <c r="P72" s="20">
        <v>4</v>
      </c>
      <c r="Q72" s="1">
        <v>2230</v>
      </c>
      <c r="R72" s="1">
        <v>1059</v>
      </c>
      <c r="S72" s="1">
        <v>8227</v>
      </c>
      <c r="T72" s="1">
        <v>3.3</v>
      </c>
      <c r="U72" s="1">
        <v>2.7</v>
      </c>
      <c r="V72" s="1">
        <f t="shared" si="8"/>
        <v>82.139002766205877</v>
      </c>
      <c r="W72" s="1">
        <f t="shared" si="9"/>
        <v>47.674999662358353</v>
      </c>
      <c r="X72" s="1">
        <f t="shared" si="5"/>
        <v>54.966724180428891</v>
      </c>
      <c r="Y72" s="1">
        <f t="shared" si="10"/>
        <v>33.249607535321822</v>
      </c>
      <c r="Z72" s="2">
        <f t="shared" si="11"/>
        <v>1.7189878784374939</v>
      </c>
      <c r="AA72" s="13">
        <v>2.4300000000000002</v>
      </c>
      <c r="AB72" s="1">
        <v>37</v>
      </c>
    </row>
    <row r="73" spans="1:28" x14ac:dyDescent="0.25">
      <c r="A73" s="10">
        <v>43076</v>
      </c>
      <c r="B73" s="20">
        <v>0.2</v>
      </c>
      <c r="C73" s="20">
        <v>7.52</v>
      </c>
      <c r="D73" s="20">
        <v>0.02</v>
      </c>
      <c r="E73" s="20">
        <v>3.57</v>
      </c>
      <c r="F73" s="20">
        <v>4.8099999999999996</v>
      </c>
      <c r="G73" s="20">
        <v>0.4</v>
      </c>
      <c r="H73" s="20">
        <v>18.940000000000001</v>
      </c>
      <c r="I73" s="20">
        <v>11.39</v>
      </c>
      <c r="J73" s="20">
        <v>81.459999999999994</v>
      </c>
      <c r="K73" s="20">
        <v>11.33</v>
      </c>
      <c r="L73" s="20">
        <v>2.5</v>
      </c>
      <c r="M73" s="20">
        <v>0.04</v>
      </c>
      <c r="N73" s="20">
        <v>266.39</v>
      </c>
      <c r="O73" s="20">
        <v>4.9000000000000004</v>
      </c>
      <c r="P73" s="20">
        <v>4</v>
      </c>
      <c r="Q73" s="1">
        <v>2230</v>
      </c>
      <c r="R73" s="1">
        <v>1004</v>
      </c>
      <c r="S73" s="1">
        <v>6830</v>
      </c>
      <c r="T73" s="1">
        <v>2.83</v>
      </c>
      <c r="U73" s="1">
        <v>2.2360000000000002</v>
      </c>
      <c r="V73" s="1">
        <f t="shared" si="8"/>
        <v>115.37128341498997</v>
      </c>
      <c r="W73" s="1">
        <f t="shared" si="9"/>
        <v>65.741742339515497</v>
      </c>
      <c r="X73" s="1">
        <f t="shared" si="5"/>
        <v>54.966724180428891</v>
      </c>
      <c r="Y73" s="1">
        <f t="shared" si="10"/>
        <v>31.522762951334379</v>
      </c>
      <c r="Z73" s="2">
        <f t="shared" si="11"/>
        <v>1.8131555411009026</v>
      </c>
      <c r="AA73" s="13">
        <v>2.19</v>
      </c>
      <c r="AB73" s="1">
        <v>76</v>
      </c>
    </row>
    <row r="74" spans="1:28" x14ac:dyDescent="0.25">
      <c r="A74" s="10">
        <v>43080</v>
      </c>
      <c r="B74" s="20">
        <v>0.21</v>
      </c>
      <c r="C74" s="20">
        <v>7.53</v>
      </c>
      <c r="D74" s="20">
        <v>0.02</v>
      </c>
      <c r="E74" s="20">
        <v>3.46</v>
      </c>
      <c r="F74" s="20">
        <v>4.51</v>
      </c>
      <c r="G74" s="20">
        <v>0.4</v>
      </c>
      <c r="H74" s="20">
        <v>19.93</v>
      </c>
      <c r="I74" s="20">
        <v>12.98</v>
      </c>
      <c r="J74" s="20">
        <v>76.47</v>
      </c>
      <c r="K74" s="20">
        <v>10.54</v>
      </c>
      <c r="L74" s="20">
        <v>6.99</v>
      </c>
      <c r="M74" s="20">
        <v>0.04</v>
      </c>
      <c r="N74" s="20">
        <v>256.25</v>
      </c>
      <c r="O74" s="20">
        <v>4.9000000000000004</v>
      </c>
      <c r="P74" s="20">
        <v>4.12</v>
      </c>
      <c r="Q74" s="1">
        <v>2230</v>
      </c>
      <c r="R74" s="1">
        <v>1115</v>
      </c>
      <c r="S74" s="1">
        <v>6375</v>
      </c>
      <c r="T74" s="1">
        <v>3.1880000000000002</v>
      </c>
      <c r="U74" s="1">
        <v>2.5169999999999999</v>
      </c>
      <c r="V74" s="1">
        <f t="shared" si="8"/>
        <v>109.7251949713386</v>
      </c>
      <c r="W74" s="1">
        <f t="shared" si="9"/>
        <v>69.488264117724967</v>
      </c>
      <c r="X74" s="1">
        <f t="shared" si="5"/>
        <v>54.966724180428891</v>
      </c>
      <c r="Y74" s="1">
        <f t="shared" si="10"/>
        <v>35.007849293563581</v>
      </c>
      <c r="Z74" s="2">
        <f t="shared" si="11"/>
        <v>1.6326530612244898</v>
      </c>
      <c r="AA74" s="13">
        <v>3.2</v>
      </c>
      <c r="AB74" s="1">
        <v>68</v>
      </c>
    </row>
    <row r="75" spans="1:28" x14ac:dyDescent="0.25">
      <c r="A75" s="10">
        <v>43085</v>
      </c>
      <c r="B75" s="20">
        <v>0.54</v>
      </c>
      <c r="C75" s="20">
        <v>7.55</v>
      </c>
      <c r="D75" s="20">
        <v>0.04</v>
      </c>
      <c r="E75" s="20">
        <v>4.43</v>
      </c>
      <c r="F75" s="20">
        <v>5.69</v>
      </c>
      <c r="G75" s="20">
        <v>0.4</v>
      </c>
      <c r="H75" s="20">
        <v>21.04</v>
      </c>
      <c r="I75" s="20">
        <v>14.83</v>
      </c>
      <c r="J75" s="20">
        <v>96.71</v>
      </c>
      <c r="K75" s="20">
        <v>12.93</v>
      </c>
      <c r="L75" s="20">
        <v>6.1</v>
      </c>
      <c r="M75" s="20">
        <v>0.05</v>
      </c>
      <c r="N75" s="20">
        <v>309.38</v>
      </c>
      <c r="O75" s="20">
        <v>5.24</v>
      </c>
      <c r="P75" s="20">
        <v>4.3</v>
      </c>
      <c r="Q75" s="1">
        <v>2230</v>
      </c>
      <c r="R75" s="1">
        <v>1107</v>
      </c>
      <c r="S75" s="1">
        <v>5781</v>
      </c>
      <c r="T75" s="1">
        <v>3.29</v>
      </c>
      <c r="U75" s="1">
        <v>2.59</v>
      </c>
      <c r="V75" s="1">
        <f t="shared" si="8"/>
        <v>117.24814913543948</v>
      </c>
      <c r="W75" s="1">
        <f t="shared" si="9"/>
        <v>73.934116487307975</v>
      </c>
      <c r="X75" s="1">
        <f t="shared" si="5"/>
        <v>54.966724180428891</v>
      </c>
      <c r="Y75" s="1">
        <f t="shared" si="10"/>
        <v>34.756671899529039</v>
      </c>
      <c r="Z75" s="2">
        <f t="shared" si="11"/>
        <v>1.6444518186678465</v>
      </c>
      <c r="AA75" s="13">
        <v>3.4</v>
      </c>
      <c r="AB75" s="1">
        <v>50</v>
      </c>
    </row>
    <row r="76" spans="1:28" x14ac:dyDescent="0.25">
      <c r="A76" s="10">
        <v>43090</v>
      </c>
      <c r="B76" s="20">
        <v>0.44</v>
      </c>
      <c r="C76" s="20">
        <v>7.57</v>
      </c>
      <c r="D76" s="20">
        <v>0.03</v>
      </c>
      <c r="E76" s="20">
        <v>4.8</v>
      </c>
      <c r="F76" s="20">
        <v>6.23</v>
      </c>
      <c r="G76" s="20">
        <v>0.4</v>
      </c>
      <c r="H76" s="20">
        <v>21.22</v>
      </c>
      <c r="I76" s="20">
        <v>14.52</v>
      </c>
      <c r="J76" s="20">
        <v>106.21</v>
      </c>
      <c r="K76" s="20">
        <v>13.96</v>
      </c>
      <c r="L76" s="20">
        <v>6.02</v>
      </c>
      <c r="M76" s="20">
        <v>0.05</v>
      </c>
      <c r="N76" s="20">
        <v>332.24</v>
      </c>
      <c r="O76" s="20">
        <v>5.0599999999999996</v>
      </c>
      <c r="P76" s="20">
        <v>4.1900000000000004</v>
      </c>
      <c r="Q76" s="1">
        <v>2230</v>
      </c>
      <c r="R76" s="1">
        <v>1045</v>
      </c>
      <c r="S76" s="6">
        <v>5979</v>
      </c>
      <c r="T76" s="1">
        <v>3.06</v>
      </c>
      <c r="U76" s="1">
        <v>2.39</v>
      </c>
      <c r="V76" s="1">
        <f t="shared" si="8"/>
        <v>121.88629702870722</v>
      </c>
      <c r="W76" s="1">
        <f t="shared" si="9"/>
        <v>73.129033905979142</v>
      </c>
      <c r="X76" s="1">
        <f t="shared" si="5"/>
        <v>54.966724180428891</v>
      </c>
      <c r="Y76" s="1">
        <f t="shared" si="10"/>
        <v>32.810047095761377</v>
      </c>
      <c r="Z76" s="2">
        <f t="shared" si="11"/>
        <v>1.7420173811151254</v>
      </c>
      <c r="AA76" s="13">
        <v>1.9</v>
      </c>
      <c r="AB76" s="1">
        <v>40</v>
      </c>
    </row>
    <row r="77" spans="1:28" x14ac:dyDescent="0.25">
      <c r="A77" s="10">
        <v>43094</v>
      </c>
      <c r="B77" s="20">
        <v>1.36</v>
      </c>
      <c r="C77" s="20">
        <v>7.58</v>
      </c>
      <c r="D77" s="20">
        <v>0.08</v>
      </c>
      <c r="E77" s="20">
        <v>5.8</v>
      </c>
      <c r="F77" s="20">
        <v>6.7</v>
      </c>
      <c r="G77" s="20">
        <v>0.81</v>
      </c>
      <c r="H77" s="20">
        <v>27.54</v>
      </c>
      <c r="I77" s="20">
        <v>30.98</v>
      </c>
      <c r="J77" s="20">
        <v>114.25</v>
      </c>
      <c r="K77" s="20">
        <v>14.88</v>
      </c>
      <c r="L77" s="20">
        <v>32.43</v>
      </c>
      <c r="M77" s="20">
        <v>0.09</v>
      </c>
      <c r="N77" s="20">
        <v>385.01</v>
      </c>
      <c r="O77" s="20">
        <v>7.35</v>
      </c>
      <c r="P77" s="20">
        <v>6.51</v>
      </c>
      <c r="Q77" s="1">
        <v>2434</v>
      </c>
      <c r="R77" s="1">
        <v>1274</v>
      </c>
      <c r="S77" s="6">
        <v>4885</v>
      </c>
      <c r="T77" s="1">
        <v>2.968</v>
      </c>
      <c r="U77" s="1">
        <v>2.282</v>
      </c>
      <c r="V77" s="1">
        <f t="shared" si="8"/>
        <v>167.87735159338644</v>
      </c>
      <c r="W77" s="1">
        <f t="shared" si="9"/>
        <v>114.28499664052346</v>
      </c>
      <c r="X77" s="1">
        <f t="shared" si="5"/>
        <v>59.99507024895243</v>
      </c>
      <c r="Y77" s="1">
        <f t="shared" si="10"/>
        <v>40</v>
      </c>
      <c r="Z77" s="2">
        <f t="shared" si="11"/>
        <v>1.5596065741838336</v>
      </c>
      <c r="AA77" s="13">
        <v>1.74</v>
      </c>
      <c r="AB77" s="1">
        <v>68</v>
      </c>
    </row>
    <row r="78" spans="1:28" x14ac:dyDescent="0.25">
      <c r="A78" s="10">
        <v>43097</v>
      </c>
      <c r="B78" s="20">
        <v>0.2</v>
      </c>
      <c r="C78" s="20">
        <v>7.58</v>
      </c>
      <c r="D78" s="20">
        <v>0.02</v>
      </c>
      <c r="E78" s="20">
        <v>5.25</v>
      </c>
      <c r="F78" s="20">
        <v>6.59</v>
      </c>
      <c r="G78" s="20">
        <v>0.4</v>
      </c>
      <c r="H78" s="20">
        <v>22.43</v>
      </c>
      <c r="I78" s="20">
        <v>17.21</v>
      </c>
      <c r="J78" s="20">
        <v>112.48</v>
      </c>
      <c r="K78" s="20">
        <v>14.63</v>
      </c>
      <c r="L78" s="20">
        <v>18.309999999999999</v>
      </c>
      <c r="M78" s="20">
        <v>0.04</v>
      </c>
      <c r="N78" s="20">
        <v>351.9</v>
      </c>
      <c r="O78" s="20">
        <v>4.9000000000000004</v>
      </c>
      <c r="P78" s="20">
        <v>4.51</v>
      </c>
      <c r="Q78" s="1">
        <v>2434</v>
      </c>
      <c r="R78" s="1">
        <v>1178</v>
      </c>
      <c r="S78" s="1">
        <v>6725</v>
      </c>
      <c r="T78" s="1">
        <v>2.8519999999999999</v>
      </c>
      <c r="U78" s="1">
        <v>2.1880000000000002</v>
      </c>
      <c r="V78" s="1">
        <f t="shared" si="8"/>
        <v>126.90500894174569</v>
      </c>
      <c r="W78" s="1">
        <f t="shared" si="9"/>
        <v>80.05817470080126</v>
      </c>
      <c r="X78" s="1">
        <f t="shared" si="5"/>
        <v>59.99507024895243</v>
      </c>
      <c r="Y78" s="1">
        <f t="shared" si="10"/>
        <v>36.985871271585559</v>
      </c>
      <c r="Z78" s="2">
        <f t="shared" si="11"/>
        <v>1.6867052423685942</v>
      </c>
      <c r="AA78" s="13">
        <v>2.41</v>
      </c>
      <c r="AB78" s="1">
        <v>68</v>
      </c>
    </row>
    <row r="79" spans="1:28" x14ac:dyDescent="0.25">
      <c r="A79" s="10">
        <v>43102</v>
      </c>
      <c r="B79" s="20">
        <v>0.56999999999999995</v>
      </c>
      <c r="C79" s="20">
        <v>7.58</v>
      </c>
      <c r="D79" s="20">
        <v>0.04</v>
      </c>
      <c r="E79" s="20">
        <v>5.8</v>
      </c>
      <c r="F79" s="20">
        <v>6.7</v>
      </c>
      <c r="G79" s="20">
        <v>0.64</v>
      </c>
      <c r="H79" s="20">
        <v>24.89</v>
      </c>
      <c r="I79" s="20">
        <v>24.72</v>
      </c>
      <c r="J79" s="20">
        <v>114.13</v>
      </c>
      <c r="K79" s="20">
        <v>14.96</v>
      </c>
      <c r="L79" s="20">
        <v>26.77</v>
      </c>
      <c r="M79" s="20">
        <v>0.05</v>
      </c>
      <c r="N79" s="20">
        <v>372.65</v>
      </c>
      <c r="O79" s="20">
        <v>5.85</v>
      </c>
      <c r="P79" s="20">
        <v>5.51</v>
      </c>
      <c r="Q79" s="1">
        <v>2434</v>
      </c>
      <c r="R79" s="1">
        <v>1363</v>
      </c>
      <c r="S79" s="1">
        <v>6218</v>
      </c>
      <c r="T79" s="1">
        <v>2.86</v>
      </c>
      <c r="U79" s="1">
        <v>2.17</v>
      </c>
      <c r="V79" s="1">
        <f t="shared" si="8"/>
        <v>136.86859939674349</v>
      </c>
      <c r="W79" s="1">
        <f t="shared" si="9"/>
        <v>101.01489210008701</v>
      </c>
      <c r="X79" s="1">
        <f t="shared" si="5"/>
        <v>59.99507024895243</v>
      </c>
      <c r="Y79" s="1">
        <f t="shared" si="10"/>
        <v>42.794348508634222</v>
      </c>
      <c r="Z79" s="2">
        <f t="shared" si="11"/>
        <v>1.4577687274469582</v>
      </c>
      <c r="AA79" s="13">
        <v>2.2000000000000002</v>
      </c>
      <c r="AB79" s="1">
        <v>60</v>
      </c>
    </row>
    <row r="80" spans="1:28" x14ac:dyDescent="0.25">
      <c r="A80" s="10">
        <v>43106</v>
      </c>
      <c r="B80" s="20">
        <v>0.2</v>
      </c>
      <c r="C80" s="20">
        <v>7.58</v>
      </c>
      <c r="D80" s="20">
        <v>0.02</v>
      </c>
      <c r="E80" s="20">
        <v>2.6</v>
      </c>
      <c r="F80" s="20">
        <v>3.26</v>
      </c>
      <c r="G80" s="20">
        <v>0.4</v>
      </c>
      <c r="H80" s="20">
        <v>20.3</v>
      </c>
      <c r="I80" s="20">
        <v>12.59</v>
      </c>
      <c r="J80" s="20">
        <v>55.49</v>
      </c>
      <c r="K80" s="20">
        <v>7.7</v>
      </c>
      <c r="L80" s="20">
        <v>13.65</v>
      </c>
      <c r="M80" s="20">
        <v>0.04</v>
      </c>
      <c r="N80" s="20">
        <v>203.44</v>
      </c>
      <c r="O80" s="20">
        <v>4.9000000000000004</v>
      </c>
      <c r="P80" s="20">
        <v>4</v>
      </c>
      <c r="Q80" s="1">
        <v>2434</v>
      </c>
      <c r="R80" s="1">
        <v>1363</v>
      </c>
      <c r="S80" s="1">
        <v>7757</v>
      </c>
      <c r="T80" s="1">
        <v>3.1059999999999999</v>
      </c>
      <c r="U80" s="1">
        <v>2.48</v>
      </c>
      <c r="V80" s="1">
        <f t="shared" si="8"/>
        <v>101.02417931136043</v>
      </c>
      <c r="W80" s="1">
        <f t="shared" si="9"/>
        <v>70.851717699310086</v>
      </c>
      <c r="X80" s="1">
        <f t="shared" si="5"/>
        <v>59.99507024895243</v>
      </c>
      <c r="Y80" s="1">
        <f t="shared" si="10"/>
        <v>42.794348508634222</v>
      </c>
      <c r="Z80" s="2">
        <f t="shared" si="11"/>
        <v>1.4577687274469582</v>
      </c>
      <c r="AA80" s="13">
        <v>1.5</v>
      </c>
      <c r="AB80" s="1">
        <v>42</v>
      </c>
    </row>
    <row r="81" spans="1:28" x14ac:dyDescent="0.25">
      <c r="A81" s="10">
        <v>43112</v>
      </c>
      <c r="B81" s="20">
        <v>0.2</v>
      </c>
      <c r="C81" s="20">
        <v>7.57</v>
      </c>
      <c r="D81" s="20">
        <v>0.02</v>
      </c>
      <c r="E81" s="20">
        <v>1.89</v>
      </c>
      <c r="F81" s="20">
        <v>2.41</v>
      </c>
      <c r="G81" s="20">
        <v>0.4</v>
      </c>
      <c r="H81" s="20">
        <v>19.45</v>
      </c>
      <c r="I81" s="20">
        <v>11</v>
      </c>
      <c r="J81" s="20">
        <v>40.96</v>
      </c>
      <c r="K81" s="20">
        <v>5.94</v>
      </c>
      <c r="L81" s="20">
        <v>13.86</v>
      </c>
      <c r="M81" s="20">
        <v>0.04</v>
      </c>
      <c r="N81" s="20">
        <v>164.99</v>
      </c>
      <c r="O81" s="20">
        <v>4.9000000000000004</v>
      </c>
      <c r="P81" s="20">
        <v>4</v>
      </c>
      <c r="Q81" s="1">
        <v>2434</v>
      </c>
      <c r="R81" s="1">
        <v>1363</v>
      </c>
      <c r="S81" s="1">
        <v>8163</v>
      </c>
      <c r="T81" s="1">
        <v>3.1259999999999999</v>
      </c>
      <c r="U81" s="1">
        <v>2.48</v>
      </c>
      <c r="V81" s="1">
        <f t="shared" si="8"/>
        <v>95.385377695920354</v>
      </c>
      <c r="W81" s="1">
        <f t="shared" si="9"/>
        <v>67.327792991981909</v>
      </c>
      <c r="X81" s="1">
        <f t="shared" ref="X81:X112" si="12">Q81/40.57</f>
        <v>59.99507024895243</v>
      </c>
      <c r="Y81" s="1">
        <f t="shared" si="10"/>
        <v>42.794348508634222</v>
      </c>
      <c r="Z81" s="2">
        <f t="shared" si="11"/>
        <v>1.4577687274469582</v>
      </c>
      <c r="AA81" s="13">
        <v>1.54</v>
      </c>
      <c r="AB81" s="13">
        <v>100</v>
      </c>
    </row>
    <row r="82" spans="1:28" x14ac:dyDescent="0.25">
      <c r="A82" s="10">
        <v>43117</v>
      </c>
      <c r="B82" s="20">
        <v>0.2</v>
      </c>
      <c r="C82" s="20">
        <v>7.55</v>
      </c>
      <c r="D82" s="20">
        <v>0.02</v>
      </c>
      <c r="E82" s="20">
        <v>1.62</v>
      </c>
      <c r="F82" s="20">
        <v>2.25</v>
      </c>
      <c r="G82" s="20">
        <v>0.4</v>
      </c>
      <c r="H82" s="20">
        <v>18.16</v>
      </c>
      <c r="I82" s="20">
        <v>8.52</v>
      </c>
      <c r="J82" s="20">
        <v>38.14</v>
      </c>
      <c r="K82" s="20">
        <v>5.64</v>
      </c>
      <c r="L82" s="20">
        <v>8.7799999999999994</v>
      </c>
      <c r="M82" s="20">
        <v>0.04</v>
      </c>
      <c r="N82" s="20">
        <v>154.34</v>
      </c>
      <c r="O82" s="20">
        <v>4.9000000000000004</v>
      </c>
      <c r="P82" s="20">
        <v>4</v>
      </c>
      <c r="Q82" s="1">
        <v>2434</v>
      </c>
      <c r="R82" s="1">
        <v>1274</v>
      </c>
      <c r="S82" s="1">
        <v>8066</v>
      </c>
      <c r="T82" s="1">
        <v>3.1819999999999999</v>
      </c>
      <c r="U82" s="1">
        <v>2.56</v>
      </c>
      <c r="V82" s="1">
        <f t="shared" si="8"/>
        <v>94.833587703457795</v>
      </c>
      <c r="W82" s="1">
        <f t="shared" si="9"/>
        <v>61.698022563848255</v>
      </c>
      <c r="X82" s="1">
        <f t="shared" si="12"/>
        <v>59.99507024895243</v>
      </c>
      <c r="Y82" s="1">
        <f t="shared" si="10"/>
        <v>40</v>
      </c>
      <c r="Z82" s="2">
        <f t="shared" si="11"/>
        <v>1.5596065741838336</v>
      </c>
      <c r="AA82" s="13">
        <v>2.0099999999999998</v>
      </c>
      <c r="AB82" s="1">
        <v>62</v>
      </c>
    </row>
    <row r="83" spans="1:28" x14ac:dyDescent="0.25">
      <c r="A83" s="10">
        <v>43122</v>
      </c>
      <c r="B83" s="20">
        <v>0.79</v>
      </c>
      <c r="C83" s="20">
        <v>7.54</v>
      </c>
      <c r="D83" s="20">
        <v>0.05</v>
      </c>
      <c r="E83" s="20">
        <v>5.23</v>
      </c>
      <c r="F83" s="20">
        <v>6.7</v>
      </c>
      <c r="G83" s="20">
        <v>0.4</v>
      </c>
      <c r="H83" s="20">
        <v>19.809999999999999</v>
      </c>
      <c r="I83" s="20">
        <v>14.14</v>
      </c>
      <c r="J83" s="20">
        <v>113.44</v>
      </c>
      <c r="K83" s="20">
        <v>15.45</v>
      </c>
      <c r="L83" s="20">
        <v>13.89</v>
      </c>
      <c r="M83" s="20">
        <v>7.0000000000000007E-2</v>
      </c>
      <c r="N83" s="20">
        <v>350.51</v>
      </c>
      <c r="O83" s="20">
        <v>5.68</v>
      </c>
      <c r="P83" s="20">
        <v>4.1100000000000003</v>
      </c>
      <c r="Q83" s="1">
        <v>2029</v>
      </c>
      <c r="R83" s="1">
        <v>956</v>
      </c>
      <c r="S83" s="1">
        <v>5339</v>
      </c>
      <c r="T83" s="1">
        <v>2.94</v>
      </c>
      <c r="U83" s="1">
        <v>2.3359999999999999</v>
      </c>
      <c r="V83" s="1">
        <f t="shared" si="8"/>
        <v>129.26316808798813</v>
      </c>
      <c r="W83" s="1">
        <f t="shared" si="9"/>
        <v>76.652289818779877</v>
      </c>
      <c r="X83" s="1">
        <f t="shared" si="12"/>
        <v>50.012324377618931</v>
      </c>
      <c r="Y83" s="1">
        <f t="shared" si="10"/>
        <v>30.015698587127158</v>
      </c>
      <c r="Z83" s="2">
        <f t="shared" si="11"/>
        <v>1.7325591324395868</v>
      </c>
      <c r="AA83" s="13">
        <v>1.6</v>
      </c>
      <c r="AB83" s="13">
        <v>167</v>
      </c>
    </row>
    <row r="84" spans="1:28" x14ac:dyDescent="0.25">
      <c r="A84" s="10">
        <v>43126</v>
      </c>
      <c r="B84" s="20">
        <v>0.2</v>
      </c>
      <c r="C84" s="20">
        <v>7.52</v>
      </c>
      <c r="D84" s="20">
        <v>0.02</v>
      </c>
      <c r="E84" s="20">
        <v>2.2000000000000002</v>
      </c>
      <c r="F84" s="20">
        <v>3.11</v>
      </c>
      <c r="G84" s="20">
        <v>0.4</v>
      </c>
      <c r="H84" s="20">
        <v>17.02</v>
      </c>
      <c r="I84" s="20">
        <v>8</v>
      </c>
      <c r="J84" s="20">
        <v>52.45</v>
      </c>
      <c r="K84" s="20">
        <v>7.68</v>
      </c>
      <c r="L84" s="20">
        <v>2.78</v>
      </c>
      <c r="M84" s="20">
        <v>0.04</v>
      </c>
      <c r="N84" s="20">
        <v>188.99</v>
      </c>
      <c r="O84" s="20">
        <v>4.9000000000000004</v>
      </c>
      <c r="P84" s="20">
        <v>4</v>
      </c>
      <c r="Q84" s="1">
        <v>2029</v>
      </c>
      <c r="R84" s="1">
        <v>956</v>
      </c>
      <c r="S84" s="1">
        <v>6916</v>
      </c>
      <c r="T84" s="1">
        <v>2.87</v>
      </c>
      <c r="U84" s="1">
        <v>2.29</v>
      </c>
      <c r="V84" s="1">
        <f t="shared" si="8"/>
        <v>102.22218639603564</v>
      </c>
      <c r="W84" s="1">
        <f t="shared" si="9"/>
        <v>60.362528760598174</v>
      </c>
      <c r="X84" s="1">
        <f t="shared" si="12"/>
        <v>50.012324377618931</v>
      </c>
      <c r="Y84" s="1">
        <f t="shared" si="10"/>
        <v>30.015698587127158</v>
      </c>
      <c r="Z84" s="2">
        <f t="shared" si="11"/>
        <v>1.7325591324395868</v>
      </c>
      <c r="AA84" s="13">
        <v>1.87</v>
      </c>
      <c r="AB84" s="16">
        <v>67</v>
      </c>
    </row>
    <row r="85" spans="1:28" x14ac:dyDescent="0.25">
      <c r="A85" s="10">
        <v>43132</v>
      </c>
      <c r="B85" s="20">
        <v>0.76</v>
      </c>
      <c r="C85" s="20">
        <v>7.49</v>
      </c>
      <c r="D85" s="20">
        <v>0.05</v>
      </c>
      <c r="E85" s="20">
        <v>4.96</v>
      </c>
      <c r="F85" s="20">
        <v>5.48</v>
      </c>
      <c r="G85" s="20">
        <v>0.61</v>
      </c>
      <c r="H85" s="20">
        <v>21.6</v>
      </c>
      <c r="I85" s="20">
        <v>22.06</v>
      </c>
      <c r="J85" s="20">
        <v>92.27</v>
      </c>
      <c r="K85" s="20">
        <v>13.21</v>
      </c>
      <c r="L85" s="20">
        <v>26.26</v>
      </c>
      <c r="M85" s="20">
        <v>0.06</v>
      </c>
      <c r="N85" s="20">
        <v>315.16000000000003</v>
      </c>
      <c r="O85" s="20">
        <v>6.1</v>
      </c>
      <c r="P85" s="20">
        <v>5.37</v>
      </c>
      <c r="Q85" s="1">
        <v>2029</v>
      </c>
      <c r="R85" s="1">
        <f>956+319</f>
        <v>1275</v>
      </c>
      <c r="S85" s="1">
        <v>5801</v>
      </c>
      <c r="T85" s="1">
        <v>2.84</v>
      </c>
      <c r="U85" s="1">
        <v>2.23</v>
      </c>
      <c r="V85" s="1">
        <f t="shared" si="8"/>
        <v>123.15749348703842</v>
      </c>
      <c r="W85" s="1">
        <f t="shared" si="9"/>
        <v>98.560399745520911</v>
      </c>
      <c r="X85" s="1">
        <f t="shared" si="12"/>
        <v>50.012324377618931</v>
      </c>
      <c r="Y85" s="1">
        <f t="shared" si="10"/>
        <v>40.031397174254316</v>
      </c>
      <c r="Z85" s="2">
        <f t="shared" si="11"/>
        <v>1.2990796318527411</v>
      </c>
      <c r="AA85" s="13">
        <v>1.8</v>
      </c>
      <c r="AB85" s="16">
        <v>28</v>
      </c>
    </row>
    <row r="86" spans="1:28" x14ac:dyDescent="0.25">
      <c r="A86" s="10">
        <v>43137</v>
      </c>
      <c r="B86" s="20">
        <v>0.64</v>
      </c>
      <c r="C86" s="20">
        <v>7.47</v>
      </c>
      <c r="D86" s="20">
        <v>0.04</v>
      </c>
      <c r="E86" s="20">
        <v>3.66</v>
      </c>
      <c r="F86" s="20">
        <v>4.7699999999999996</v>
      </c>
      <c r="G86" s="20">
        <v>0.4</v>
      </c>
      <c r="H86" s="20">
        <v>16.440000000000001</v>
      </c>
      <c r="I86" s="20">
        <v>10.08</v>
      </c>
      <c r="J86" s="20">
        <v>80</v>
      </c>
      <c r="K86" s="20">
        <v>11.8</v>
      </c>
      <c r="L86" s="20">
        <v>2.5</v>
      </c>
      <c r="M86" s="20">
        <v>0.06</v>
      </c>
      <c r="N86" s="20">
        <v>261.58</v>
      </c>
      <c r="O86" s="20">
        <v>5.31</v>
      </c>
      <c r="P86" s="20">
        <v>4</v>
      </c>
      <c r="Q86" s="1">
        <v>2029</v>
      </c>
      <c r="R86" s="1">
        <v>956</v>
      </c>
      <c r="S86" s="1">
        <v>5540</v>
      </c>
      <c r="T86" s="1">
        <v>3.1</v>
      </c>
      <c r="U86" s="1">
        <v>2.4700000000000002</v>
      </c>
      <c r="V86" s="3">
        <f t="shared" si="8"/>
        <v>118.14370560149062</v>
      </c>
      <c r="W86" s="3">
        <f t="shared" si="9"/>
        <v>69.863634370569571</v>
      </c>
      <c r="X86" s="5">
        <f t="shared" si="12"/>
        <v>50.012324377618931</v>
      </c>
      <c r="Y86" s="5">
        <f t="shared" si="10"/>
        <v>30.015698587127158</v>
      </c>
      <c r="Z86" s="2">
        <f t="shared" si="11"/>
        <v>1.7325591324395868</v>
      </c>
      <c r="AA86" s="13">
        <v>2</v>
      </c>
      <c r="AB86" s="16">
        <v>40</v>
      </c>
    </row>
    <row r="87" spans="1:28" x14ac:dyDescent="0.25">
      <c r="A87" s="10">
        <v>43140</v>
      </c>
      <c r="B87" s="20">
        <v>0.74</v>
      </c>
      <c r="C87" s="20">
        <v>7.45</v>
      </c>
      <c r="D87" s="20">
        <v>0.05</v>
      </c>
      <c r="E87" s="20">
        <v>5.14</v>
      </c>
      <c r="F87" s="20">
        <v>6.33</v>
      </c>
      <c r="G87" s="20">
        <v>0.42</v>
      </c>
      <c r="H87" s="20">
        <v>17.89</v>
      </c>
      <c r="I87" s="20">
        <v>15.03</v>
      </c>
      <c r="J87" s="20">
        <v>105.88</v>
      </c>
      <c r="K87" s="20">
        <v>15.57</v>
      </c>
      <c r="L87" s="20">
        <v>10.79</v>
      </c>
      <c r="M87" s="20">
        <v>0.06</v>
      </c>
      <c r="N87" s="20">
        <v>335.09</v>
      </c>
      <c r="O87" s="20">
        <v>5.75</v>
      </c>
      <c r="P87" s="20">
        <v>4.47</v>
      </c>
      <c r="Q87" s="1">
        <v>2029</v>
      </c>
      <c r="R87" s="1">
        <v>956</v>
      </c>
      <c r="S87" s="1">
        <v>5574</v>
      </c>
      <c r="T87" s="1">
        <v>2.7149999999999999</v>
      </c>
      <c r="U87" s="1">
        <v>2.0670000000000002</v>
      </c>
      <c r="V87" s="3">
        <f t="shared" si="8"/>
        <v>134.07421063725889</v>
      </c>
      <c r="W87" s="3">
        <f t="shared" si="9"/>
        <v>82.975609510532436</v>
      </c>
      <c r="X87" s="5">
        <f t="shared" si="12"/>
        <v>50.012324377618931</v>
      </c>
      <c r="Y87" s="5">
        <f t="shared" si="10"/>
        <v>30.015698587127158</v>
      </c>
      <c r="Z87" s="2">
        <f t="shared" si="11"/>
        <v>1.7325591324395868</v>
      </c>
      <c r="AA87" s="13">
        <v>2.15</v>
      </c>
      <c r="AB87" s="1">
        <v>60</v>
      </c>
    </row>
    <row r="88" spans="1:28" x14ac:dyDescent="0.25">
      <c r="A88" s="10">
        <v>43146</v>
      </c>
      <c r="B88" s="20">
        <v>0.2</v>
      </c>
      <c r="C88" s="20">
        <v>7.42</v>
      </c>
      <c r="D88" s="20">
        <v>0.02</v>
      </c>
      <c r="E88" s="20">
        <v>2.72</v>
      </c>
      <c r="F88" s="20">
        <v>3.54</v>
      </c>
      <c r="G88" s="20">
        <v>0.41</v>
      </c>
      <c r="H88" s="20">
        <v>14.6</v>
      </c>
      <c r="I88" s="20">
        <v>8.52</v>
      </c>
      <c r="J88" s="20">
        <v>58.92</v>
      </c>
      <c r="K88" s="20">
        <v>9.25</v>
      </c>
      <c r="L88" s="20">
        <v>3.7</v>
      </c>
      <c r="M88" s="20">
        <v>0.04</v>
      </c>
      <c r="N88" s="20">
        <v>206.17</v>
      </c>
      <c r="O88" s="20">
        <v>4.9000000000000004</v>
      </c>
      <c r="P88" s="20">
        <v>4</v>
      </c>
      <c r="Q88" s="1">
        <v>2029</v>
      </c>
      <c r="R88" s="1">
        <v>956</v>
      </c>
      <c r="S88" s="1">
        <v>6536</v>
      </c>
      <c r="T88" s="1">
        <v>2.7109999999999999</v>
      </c>
      <c r="U88" s="1">
        <v>2.1419999999999999</v>
      </c>
      <c r="V88" s="3">
        <f t="shared" si="8"/>
        <v>114.50922778453258</v>
      </c>
      <c r="W88" s="3">
        <f t="shared" si="9"/>
        <v>68.285168004370249</v>
      </c>
      <c r="X88" s="5">
        <f t="shared" si="12"/>
        <v>50.012324377618931</v>
      </c>
      <c r="Y88" s="5">
        <f t="shared" si="10"/>
        <v>30.015698587127158</v>
      </c>
      <c r="Z88" s="2">
        <f t="shared" si="11"/>
        <v>1.7325591324395868</v>
      </c>
      <c r="AA88" s="13">
        <v>2.5</v>
      </c>
      <c r="AB88" s="1">
        <v>65</v>
      </c>
    </row>
    <row r="89" spans="1:28" x14ac:dyDescent="0.25">
      <c r="A89" s="10">
        <v>43154</v>
      </c>
      <c r="B89" s="20">
        <v>0.56000000000000005</v>
      </c>
      <c r="C89" s="20">
        <v>7.37</v>
      </c>
      <c r="D89" s="20">
        <v>0.04</v>
      </c>
      <c r="E89" s="20">
        <v>2.85</v>
      </c>
      <c r="F89" s="20">
        <v>3.28</v>
      </c>
      <c r="G89" s="20">
        <v>0.41</v>
      </c>
      <c r="H89" s="20">
        <v>14.92</v>
      </c>
      <c r="I89" s="20">
        <v>12.35</v>
      </c>
      <c r="J89" s="20">
        <v>54.26</v>
      </c>
      <c r="K89" s="20">
        <v>8.89</v>
      </c>
      <c r="L89" s="20">
        <v>14.06</v>
      </c>
      <c r="M89" s="20">
        <v>0.05</v>
      </c>
      <c r="N89" s="20">
        <v>200.03</v>
      </c>
      <c r="O89" s="20">
        <v>5.46</v>
      </c>
      <c r="P89" s="20">
        <v>4.29</v>
      </c>
      <c r="Q89" s="1">
        <v>2029</v>
      </c>
      <c r="R89" s="1">
        <f>956+200</f>
        <v>1156</v>
      </c>
      <c r="S89" s="1">
        <v>5949</v>
      </c>
      <c r="T89" s="1">
        <v>2.9820000000000002</v>
      </c>
      <c r="U89" s="1">
        <v>2.4319999999999999</v>
      </c>
      <c r="V89" s="3">
        <f t="shared" si="8"/>
        <v>114.3748240549928</v>
      </c>
      <c r="W89" s="3">
        <f t="shared" si="9"/>
        <v>79.900646725234679</v>
      </c>
      <c r="X89" s="5">
        <f t="shared" si="12"/>
        <v>50.012324377618931</v>
      </c>
      <c r="Y89" s="5">
        <f t="shared" si="10"/>
        <v>36.295133437990579</v>
      </c>
      <c r="Z89" s="2">
        <f t="shared" si="11"/>
        <v>1.4328084174846409</v>
      </c>
      <c r="AA89" s="16">
        <v>1.32</v>
      </c>
      <c r="AB89" s="13">
        <v>128</v>
      </c>
    </row>
    <row r="90" spans="1:28" x14ac:dyDescent="0.25">
      <c r="A90" s="10">
        <v>43159</v>
      </c>
      <c r="B90" s="20">
        <v>0.55000000000000004</v>
      </c>
      <c r="C90" s="20">
        <v>7.35</v>
      </c>
      <c r="D90" s="20">
        <v>0.04</v>
      </c>
      <c r="E90" s="20">
        <v>2.48</v>
      </c>
      <c r="F90" s="20">
        <v>2.5</v>
      </c>
      <c r="G90" s="20">
        <v>0.48</v>
      </c>
      <c r="H90" s="20">
        <v>15.07</v>
      </c>
      <c r="I90" s="20">
        <v>14.57</v>
      </c>
      <c r="J90" s="20">
        <v>41.17</v>
      </c>
      <c r="K90" s="20">
        <v>7.08</v>
      </c>
      <c r="L90" s="20">
        <v>23.06</v>
      </c>
      <c r="M90" s="20">
        <v>0.05</v>
      </c>
      <c r="N90" s="20">
        <v>171.24</v>
      </c>
      <c r="O90" s="20">
        <v>5.62</v>
      </c>
      <c r="P90" s="20">
        <v>4.68</v>
      </c>
      <c r="Q90" s="1">
        <v>2029</v>
      </c>
      <c r="R90" s="1">
        <v>1274</v>
      </c>
      <c r="S90" s="1">
        <v>6146</v>
      </c>
      <c r="T90" s="1">
        <v>2.99</v>
      </c>
      <c r="U90" s="1">
        <v>2.39</v>
      </c>
      <c r="V90" s="3">
        <f t="shared" si="8"/>
        <v>110.41251508717092</v>
      </c>
      <c r="W90" s="3">
        <f t="shared" si="9"/>
        <v>86.731922112827746</v>
      </c>
      <c r="X90" s="5">
        <f t="shared" si="12"/>
        <v>50.012324377618931</v>
      </c>
      <c r="Y90" s="5">
        <f t="shared" si="10"/>
        <v>40</v>
      </c>
      <c r="Z90" s="2">
        <f t="shared" si="11"/>
        <v>1.300099317592029</v>
      </c>
      <c r="AA90" s="13">
        <v>2.2999999999999998</v>
      </c>
      <c r="AB90" s="1">
        <v>92</v>
      </c>
    </row>
    <row r="91" spans="1:28" x14ac:dyDescent="0.25">
      <c r="A91" s="10">
        <v>43165</v>
      </c>
      <c r="B91" s="20">
        <v>1.01</v>
      </c>
      <c r="C91" s="20">
        <v>7.31</v>
      </c>
      <c r="D91" s="20">
        <v>0.06</v>
      </c>
      <c r="E91" s="20">
        <v>3.68</v>
      </c>
      <c r="F91" s="20">
        <v>3.8</v>
      </c>
      <c r="G91" s="20">
        <v>0.62</v>
      </c>
      <c r="H91" s="20">
        <v>15.55</v>
      </c>
      <c r="I91" s="20">
        <v>17.96</v>
      </c>
      <c r="J91" s="20">
        <v>62.31</v>
      </c>
      <c r="K91" s="20">
        <v>10.58</v>
      </c>
      <c r="L91" s="20">
        <v>25.11</v>
      </c>
      <c r="M91" s="20">
        <v>0.08</v>
      </c>
      <c r="N91" s="20">
        <v>233.54</v>
      </c>
      <c r="O91" s="20">
        <v>6.6</v>
      </c>
      <c r="P91" s="20">
        <v>5.25</v>
      </c>
      <c r="Q91" s="1">
        <v>2029</v>
      </c>
      <c r="R91" s="1">
        <v>1274</v>
      </c>
      <c r="S91" s="1">
        <v>5502</v>
      </c>
      <c r="T91" s="1">
        <v>2.9870000000000001</v>
      </c>
      <c r="U91" s="1">
        <v>2.395</v>
      </c>
      <c r="V91" s="3">
        <f t="shared" si="8"/>
        <v>123.45999026193353</v>
      </c>
      <c r="W91" s="3">
        <f t="shared" si="9"/>
        <v>96.68148761998863</v>
      </c>
      <c r="X91" s="5">
        <f t="shared" si="12"/>
        <v>50.012324377618931</v>
      </c>
      <c r="Y91" s="5">
        <f t="shared" si="10"/>
        <v>40</v>
      </c>
      <c r="Z91" s="2">
        <f t="shared" si="11"/>
        <v>1.300099317592029</v>
      </c>
      <c r="AA91" s="13">
        <v>2.4</v>
      </c>
      <c r="AB91" s="1">
        <v>97</v>
      </c>
    </row>
    <row r="92" spans="1:28" x14ac:dyDescent="0.25">
      <c r="A92" s="10">
        <v>43170</v>
      </c>
      <c r="B92" s="20">
        <v>0.76</v>
      </c>
      <c r="C92" s="20">
        <v>7.29</v>
      </c>
      <c r="D92" s="20">
        <v>0.05</v>
      </c>
      <c r="E92" s="20">
        <v>1.94</v>
      </c>
      <c r="F92" s="20">
        <v>1.93</v>
      </c>
      <c r="G92" s="20">
        <v>0.46</v>
      </c>
      <c r="H92" s="20">
        <v>12.65</v>
      </c>
      <c r="I92" s="20">
        <v>11.92</v>
      </c>
      <c r="J92" s="20">
        <v>31.43</v>
      </c>
      <c r="K92" s="20">
        <v>5.85</v>
      </c>
      <c r="L92" s="20">
        <v>19.5</v>
      </c>
      <c r="M92" s="20">
        <v>0.06</v>
      </c>
      <c r="N92" s="20">
        <v>140.41999999999999</v>
      </c>
      <c r="O92" s="20">
        <v>6.01</v>
      </c>
      <c r="P92" s="20">
        <v>4.45</v>
      </c>
      <c r="Q92" s="1">
        <v>2029</v>
      </c>
      <c r="R92" s="1">
        <v>1274</v>
      </c>
      <c r="S92" s="1">
        <v>5839</v>
      </c>
      <c r="T92" s="1">
        <v>3.1619999999999999</v>
      </c>
      <c r="U92" s="1">
        <v>2.6339999999999999</v>
      </c>
      <c r="V92" s="3">
        <f t="shared" si="8"/>
        <v>109.89595469145236</v>
      </c>
      <c r="W92" s="3">
        <f t="shared" si="9"/>
        <v>82.835249012251424</v>
      </c>
      <c r="X92" s="5">
        <f t="shared" si="12"/>
        <v>50.012324377618931</v>
      </c>
      <c r="Y92" s="5">
        <f t="shared" si="10"/>
        <v>40</v>
      </c>
      <c r="Z92" s="2">
        <f t="shared" si="11"/>
        <v>1.300099317592029</v>
      </c>
      <c r="AA92" s="13">
        <v>2.2799999999999998</v>
      </c>
      <c r="AB92" s="1">
        <v>44</v>
      </c>
    </row>
    <row r="93" spans="1:28" x14ac:dyDescent="0.25">
      <c r="A93" s="10">
        <v>43175</v>
      </c>
      <c r="B93" s="20">
        <v>1.35</v>
      </c>
      <c r="C93" s="20">
        <v>7.26</v>
      </c>
      <c r="D93" s="20">
        <v>0.08</v>
      </c>
      <c r="E93" s="20">
        <v>3.82</v>
      </c>
      <c r="F93" s="20">
        <v>3.98</v>
      </c>
      <c r="G93" s="20">
        <v>0.67</v>
      </c>
      <c r="H93" s="20">
        <v>14.12</v>
      </c>
      <c r="I93" s="20">
        <v>17.47</v>
      </c>
      <c r="J93" s="20">
        <v>64.61</v>
      </c>
      <c r="K93" s="20">
        <v>11.42</v>
      </c>
      <c r="L93" s="20">
        <v>23.13</v>
      </c>
      <c r="M93" s="20">
        <v>0.09</v>
      </c>
      <c r="N93" s="20">
        <v>239.19</v>
      </c>
      <c r="O93" s="20">
        <v>7.32</v>
      </c>
      <c r="P93" s="20">
        <v>5.31</v>
      </c>
      <c r="Q93" s="1">
        <v>2029</v>
      </c>
      <c r="R93" s="1">
        <v>1274</v>
      </c>
      <c r="S93" s="1">
        <v>5083</v>
      </c>
      <c r="T93" s="1">
        <v>3.0939999999999999</v>
      </c>
      <c r="U93" s="1">
        <v>2.56</v>
      </c>
      <c r="V93" s="3">
        <f t="shared" si="8"/>
        <v>129.01542220726122</v>
      </c>
      <c r="W93" s="3">
        <f t="shared" si="9"/>
        <v>97.906010230179035</v>
      </c>
      <c r="X93" s="5">
        <f t="shared" si="12"/>
        <v>50.012324377618931</v>
      </c>
      <c r="Y93" s="5">
        <f t="shared" si="10"/>
        <v>40</v>
      </c>
      <c r="Z93" s="2">
        <f t="shared" si="11"/>
        <v>1.300099317592029</v>
      </c>
      <c r="AA93" s="13">
        <v>1.38</v>
      </c>
      <c r="AB93" s="1">
        <v>62</v>
      </c>
    </row>
    <row r="94" spans="1:28" x14ac:dyDescent="0.25">
      <c r="A94" s="10">
        <v>43178</v>
      </c>
      <c r="B94" s="20">
        <v>1.04</v>
      </c>
      <c r="C94" s="20">
        <v>7.24</v>
      </c>
      <c r="D94" s="20">
        <v>0.06</v>
      </c>
      <c r="E94" s="20">
        <v>2.4500000000000002</v>
      </c>
      <c r="F94" s="20">
        <v>2.41</v>
      </c>
      <c r="G94" s="20">
        <v>0.56999999999999995</v>
      </c>
      <c r="H94" s="20">
        <v>12.37</v>
      </c>
      <c r="I94" s="20">
        <v>13.73</v>
      </c>
      <c r="J94" s="20">
        <v>39.06</v>
      </c>
      <c r="K94" s="20">
        <v>7.31</v>
      </c>
      <c r="L94" s="20">
        <v>21.49</v>
      </c>
      <c r="M94" s="20">
        <v>0.08</v>
      </c>
      <c r="N94" s="20">
        <v>164.34</v>
      </c>
      <c r="O94" s="20">
        <v>6.73</v>
      </c>
      <c r="P94" s="20">
        <v>4.8099999999999996</v>
      </c>
      <c r="Q94" s="1">
        <v>2029</v>
      </c>
      <c r="R94" s="1">
        <v>1274</v>
      </c>
      <c r="S94" s="1">
        <v>5641</v>
      </c>
      <c r="T94" s="1">
        <v>3.048</v>
      </c>
      <c r="U94" s="1">
        <v>2.5299999999999998</v>
      </c>
      <c r="V94" s="3">
        <f t="shared" si="8"/>
        <v>118.00787355046317</v>
      </c>
      <c r="W94" s="3">
        <f t="shared" si="9"/>
        <v>89.267383842042975</v>
      </c>
      <c r="X94" s="5">
        <f t="shared" si="12"/>
        <v>50.012324377618931</v>
      </c>
      <c r="Y94" s="5">
        <f t="shared" si="10"/>
        <v>40</v>
      </c>
      <c r="Z94" s="2">
        <f t="shared" si="11"/>
        <v>1.300099317592029</v>
      </c>
      <c r="AA94" s="13">
        <v>1.87</v>
      </c>
      <c r="AB94" s="1">
        <v>70</v>
      </c>
    </row>
    <row r="95" spans="1:28" x14ac:dyDescent="0.25">
      <c r="A95" s="10">
        <v>43183</v>
      </c>
      <c r="B95" s="20">
        <v>1.1499999999999999</v>
      </c>
      <c r="C95" s="20">
        <v>7.21</v>
      </c>
      <c r="D95" s="20">
        <v>7.0000000000000007E-2</v>
      </c>
      <c r="E95" s="20">
        <v>2.44</v>
      </c>
      <c r="F95" s="20">
        <v>2.2599999999999998</v>
      </c>
      <c r="G95" s="20">
        <v>0.65</v>
      </c>
      <c r="H95" s="20">
        <v>12.24</v>
      </c>
      <c r="I95" s="20">
        <v>14.9</v>
      </c>
      <c r="J95" s="20">
        <v>36.450000000000003</v>
      </c>
      <c r="K95" s="20">
        <v>7.03</v>
      </c>
      <c r="L95" s="20">
        <v>24.87</v>
      </c>
      <c r="M95" s="20">
        <v>0.08</v>
      </c>
      <c r="N95" s="20">
        <v>160.12</v>
      </c>
      <c r="O95" s="20">
        <v>7.12</v>
      </c>
      <c r="P95" s="20">
        <v>5.03</v>
      </c>
      <c r="Q95" s="1">
        <v>2029</v>
      </c>
      <c r="R95" s="1">
        <v>1274</v>
      </c>
      <c r="S95" s="1">
        <v>5697</v>
      </c>
      <c r="T95" s="1">
        <v>2.9790000000000001</v>
      </c>
      <c r="U95" s="1">
        <v>2.395</v>
      </c>
      <c r="V95" s="3">
        <f t="shared" si="8"/>
        <v>119.5543339683442</v>
      </c>
      <c r="W95" s="3">
        <f t="shared" si="9"/>
        <v>93.372221324412394</v>
      </c>
      <c r="X95" s="5">
        <f t="shared" si="12"/>
        <v>50.012324377618931</v>
      </c>
      <c r="Y95" s="5">
        <f t="shared" si="10"/>
        <v>40</v>
      </c>
      <c r="Z95" s="2">
        <f t="shared" si="11"/>
        <v>1.300099317592029</v>
      </c>
      <c r="AA95" s="13">
        <v>2.19</v>
      </c>
      <c r="AB95" s="1">
        <v>80</v>
      </c>
    </row>
    <row r="96" spans="1:28" x14ac:dyDescent="0.25">
      <c r="A96" s="10">
        <v>43186</v>
      </c>
      <c r="B96" s="20">
        <v>0.9</v>
      </c>
      <c r="C96" s="20">
        <v>7.2</v>
      </c>
      <c r="D96" s="20">
        <v>0.06</v>
      </c>
      <c r="E96" s="20">
        <v>0.86</v>
      </c>
      <c r="F96" s="20">
        <v>0.72</v>
      </c>
      <c r="G96" s="20">
        <v>0.52</v>
      </c>
      <c r="H96" s="20">
        <v>9.32</v>
      </c>
      <c r="I96" s="20">
        <v>8.01</v>
      </c>
      <c r="J96" s="20">
        <v>11.54</v>
      </c>
      <c r="K96" s="20">
        <v>2.8</v>
      </c>
      <c r="L96" s="20">
        <v>15.61</v>
      </c>
      <c r="M96" s="20">
        <v>7.0000000000000007E-2</v>
      </c>
      <c r="N96" s="20">
        <v>90</v>
      </c>
      <c r="O96" s="20">
        <v>6.49</v>
      </c>
      <c r="P96" s="20">
        <v>4.08</v>
      </c>
      <c r="Q96" s="1">
        <v>2029</v>
      </c>
      <c r="R96" s="1">
        <v>1274</v>
      </c>
      <c r="S96" s="1">
        <v>6023</v>
      </c>
      <c r="T96" s="1">
        <v>3.117</v>
      </c>
      <c r="U96" s="1">
        <v>2.7519999999999998</v>
      </c>
      <c r="V96" s="3">
        <f t="shared" si="8"/>
        <v>108.0767761651132</v>
      </c>
      <c r="W96" s="3">
        <f t="shared" si="9"/>
        <v>76.861372490723554</v>
      </c>
      <c r="X96" s="5">
        <f t="shared" si="12"/>
        <v>50.012324377618931</v>
      </c>
      <c r="Y96" s="5">
        <f t="shared" si="10"/>
        <v>40</v>
      </c>
      <c r="Z96" s="2">
        <f t="shared" si="11"/>
        <v>1.300099317592029</v>
      </c>
      <c r="AA96" s="13">
        <v>2.54</v>
      </c>
      <c r="AB96" s="1">
        <v>58</v>
      </c>
    </row>
    <row r="97" spans="1:28" x14ac:dyDescent="0.25">
      <c r="A97" s="10">
        <v>43189</v>
      </c>
      <c r="B97" s="20">
        <v>1.37</v>
      </c>
      <c r="C97" s="20">
        <v>7.18</v>
      </c>
      <c r="D97" s="20">
        <v>0.08</v>
      </c>
      <c r="E97" s="20">
        <v>2.3199999999999998</v>
      </c>
      <c r="F97" s="20">
        <v>2.11</v>
      </c>
      <c r="G97" s="20">
        <v>0.69</v>
      </c>
      <c r="H97" s="20">
        <v>11.45</v>
      </c>
      <c r="I97" s="20">
        <v>14.53</v>
      </c>
      <c r="J97" s="20">
        <v>33.75</v>
      </c>
      <c r="K97" s="20">
        <v>6.74</v>
      </c>
      <c r="L97" s="20">
        <v>24.51</v>
      </c>
      <c r="M97" s="20">
        <v>0.09</v>
      </c>
      <c r="N97" s="20">
        <v>152.1</v>
      </c>
      <c r="O97" s="20">
        <v>7.68</v>
      </c>
      <c r="P97" s="20">
        <v>5.05</v>
      </c>
      <c r="Q97" s="1">
        <v>2029</v>
      </c>
      <c r="R97" s="1">
        <v>1274</v>
      </c>
      <c r="S97" s="1">
        <v>5541</v>
      </c>
      <c r="T97" s="1">
        <v>3.0259999999999998</v>
      </c>
      <c r="U97" s="1">
        <v>2.4500000000000002</v>
      </c>
      <c r="V97" s="3">
        <f t="shared" si="8"/>
        <v>121.01103436940012</v>
      </c>
      <c r="W97" s="3">
        <f t="shared" si="9"/>
        <v>93.845876195632556</v>
      </c>
      <c r="X97" s="5">
        <f t="shared" si="12"/>
        <v>50.012324377618931</v>
      </c>
      <c r="Y97" s="5">
        <f t="shared" si="10"/>
        <v>40</v>
      </c>
      <c r="Z97" s="2">
        <f t="shared" si="11"/>
        <v>1.300099317592029</v>
      </c>
      <c r="AA97" s="13">
        <v>2.04</v>
      </c>
      <c r="AB97" s="1">
        <v>41</v>
      </c>
    </row>
    <row r="98" spans="1:28" x14ac:dyDescent="0.25">
      <c r="A98" s="10">
        <v>43192</v>
      </c>
      <c r="B98" s="20">
        <v>2.12</v>
      </c>
      <c r="C98" s="20">
        <v>7.16</v>
      </c>
      <c r="D98" s="20">
        <v>0.11</v>
      </c>
      <c r="E98" s="20">
        <v>4.7300000000000004</v>
      </c>
      <c r="F98" s="20">
        <v>4.82</v>
      </c>
      <c r="G98" s="20">
        <v>0.93</v>
      </c>
      <c r="H98" s="20">
        <v>13.56</v>
      </c>
      <c r="I98" s="20">
        <v>20.98</v>
      </c>
      <c r="J98" s="20">
        <v>77.05</v>
      </c>
      <c r="K98" s="20">
        <v>14.57</v>
      </c>
      <c r="L98" s="20">
        <v>27.06</v>
      </c>
      <c r="M98" s="20">
        <v>0.13</v>
      </c>
      <c r="N98" s="20">
        <v>280.98</v>
      </c>
      <c r="O98" s="20">
        <v>9.3000000000000007</v>
      </c>
      <c r="P98" s="20">
        <v>6.01</v>
      </c>
      <c r="Q98" s="1">
        <v>2029</v>
      </c>
      <c r="R98" s="1">
        <v>1274</v>
      </c>
      <c r="S98" s="1">
        <v>4518</v>
      </c>
      <c r="T98" s="1">
        <v>3.109</v>
      </c>
      <c r="U98" s="1">
        <v>2.5489999999999999</v>
      </c>
      <c r="V98" s="3">
        <f t="shared" si="8"/>
        <v>144.44918585192485</v>
      </c>
      <c r="W98" s="3">
        <f t="shared" si="9"/>
        <v>110.62502094841939</v>
      </c>
      <c r="X98" s="5">
        <f t="shared" si="12"/>
        <v>50.012324377618931</v>
      </c>
      <c r="Y98" s="5">
        <f t="shared" si="10"/>
        <v>40</v>
      </c>
      <c r="Z98" s="2">
        <f t="shared" si="11"/>
        <v>1.300099317592029</v>
      </c>
      <c r="AA98" s="13">
        <v>1.6</v>
      </c>
      <c r="AB98" s="1">
        <v>62</v>
      </c>
    </row>
    <row r="99" spans="1:28" x14ac:dyDescent="0.25">
      <c r="A99" s="10">
        <v>43196</v>
      </c>
      <c r="B99" s="20">
        <v>1.57</v>
      </c>
      <c r="C99" s="20">
        <v>7.14</v>
      </c>
      <c r="D99" s="20">
        <v>0.09</v>
      </c>
      <c r="E99" s="20">
        <v>2.0099999999999998</v>
      </c>
      <c r="F99" s="20">
        <v>1.74</v>
      </c>
      <c r="G99" s="20">
        <v>0.74</v>
      </c>
      <c r="H99" s="20">
        <v>10.39</v>
      </c>
      <c r="I99" s="20">
        <v>13.62</v>
      </c>
      <c r="J99" s="20">
        <v>27.71</v>
      </c>
      <c r="K99" s="20">
        <v>5.85</v>
      </c>
      <c r="L99" s="20">
        <v>23.71</v>
      </c>
      <c r="M99" s="20">
        <v>0.1</v>
      </c>
      <c r="N99" s="20">
        <v>133.80000000000001</v>
      </c>
      <c r="O99" s="20">
        <v>8.25</v>
      </c>
      <c r="P99" s="20">
        <v>5</v>
      </c>
      <c r="Q99" s="1">
        <v>2029</v>
      </c>
      <c r="R99" s="1">
        <v>1274</v>
      </c>
      <c r="S99" s="1">
        <v>5533</v>
      </c>
      <c r="T99" s="1">
        <v>3.0139999999999998</v>
      </c>
      <c r="U99" s="1">
        <v>2.472</v>
      </c>
      <c r="V99" s="3">
        <f t="shared" ref="V99:V112" si="13">Q99*1000/(S99*T99)</f>
        <v>121.66849299329799</v>
      </c>
      <c r="W99" s="3">
        <f t="shared" ref="W99:W112" si="14">R99*1000/(S99*U99)</f>
        <v>93.145159639398102</v>
      </c>
      <c r="X99" s="5">
        <f t="shared" si="12"/>
        <v>50.012324377618931</v>
      </c>
      <c r="Y99" s="5">
        <f t="shared" si="10"/>
        <v>40</v>
      </c>
      <c r="Z99" s="2">
        <f t="shared" si="11"/>
        <v>1.300099317592029</v>
      </c>
      <c r="AA99" s="13">
        <v>2.8</v>
      </c>
      <c r="AB99" s="1">
        <v>98</v>
      </c>
    </row>
    <row r="100" spans="1:28" x14ac:dyDescent="0.25">
      <c r="A100" s="10">
        <v>43199</v>
      </c>
      <c r="B100" s="20">
        <v>2.08</v>
      </c>
      <c r="C100" s="20">
        <v>7.13</v>
      </c>
      <c r="D100" s="20">
        <v>0.11</v>
      </c>
      <c r="E100" s="20">
        <v>2.75</v>
      </c>
      <c r="F100" s="20">
        <v>2.67</v>
      </c>
      <c r="G100" s="20">
        <v>0.8</v>
      </c>
      <c r="H100" s="20">
        <v>10.46</v>
      </c>
      <c r="I100" s="20">
        <v>14.56</v>
      </c>
      <c r="J100" s="20">
        <v>42.31</v>
      </c>
      <c r="K100" s="20">
        <v>8.6300000000000008</v>
      </c>
      <c r="L100" s="20">
        <v>21.46</v>
      </c>
      <c r="M100" s="20">
        <v>0.12</v>
      </c>
      <c r="N100" s="20">
        <v>174.68</v>
      </c>
      <c r="O100" s="20">
        <v>9.23</v>
      </c>
      <c r="P100" s="20">
        <v>5.17</v>
      </c>
      <c r="Q100" s="1">
        <v>2029</v>
      </c>
      <c r="R100" s="1">
        <v>1274</v>
      </c>
      <c r="S100" s="1">
        <v>4765</v>
      </c>
      <c r="T100" s="1">
        <v>3.2890000000000001</v>
      </c>
      <c r="U100" s="1">
        <v>2.78</v>
      </c>
      <c r="V100" s="3">
        <f t="shared" si="13"/>
        <v>129.46586239163454</v>
      </c>
      <c r="W100" s="3">
        <f t="shared" si="14"/>
        <v>96.174896389289415</v>
      </c>
      <c r="X100" s="5">
        <f t="shared" si="12"/>
        <v>50.012324377618931</v>
      </c>
      <c r="Y100" s="5">
        <f t="shared" si="10"/>
        <v>40</v>
      </c>
      <c r="Z100" s="2">
        <f t="shared" si="11"/>
        <v>1.300099317592029</v>
      </c>
      <c r="AA100" s="13">
        <v>2.64</v>
      </c>
      <c r="AB100" s="1">
        <v>74</v>
      </c>
    </row>
    <row r="101" spans="1:28" x14ac:dyDescent="0.25">
      <c r="A101" s="10">
        <v>43202</v>
      </c>
      <c r="B101" s="20">
        <v>2.7</v>
      </c>
      <c r="C101" s="20">
        <v>7.11</v>
      </c>
      <c r="D101" s="20">
        <v>0.14000000000000001</v>
      </c>
      <c r="E101" s="20">
        <v>5.16</v>
      </c>
      <c r="F101" s="20">
        <v>5.0599999999999996</v>
      </c>
      <c r="G101" s="20">
        <v>1.1599999999999999</v>
      </c>
      <c r="H101" s="20">
        <v>13.92</v>
      </c>
      <c r="I101" s="20">
        <v>24.53</v>
      </c>
      <c r="J101" s="20">
        <v>79.98</v>
      </c>
      <c r="K101" s="20">
        <v>15.82</v>
      </c>
      <c r="L101" s="20">
        <v>33.840000000000003</v>
      </c>
      <c r="M101" s="20">
        <v>0.16</v>
      </c>
      <c r="N101" s="20">
        <v>297.7</v>
      </c>
      <c r="O101" s="20">
        <v>10.87</v>
      </c>
      <c r="P101" s="20">
        <v>6.63</v>
      </c>
      <c r="Q101" s="1">
        <v>2029</v>
      </c>
      <c r="R101" s="1">
        <v>1274</v>
      </c>
      <c r="S101" s="1">
        <v>4181</v>
      </c>
      <c r="T101" s="1">
        <v>2.8069999999999999</v>
      </c>
      <c r="U101" s="1">
        <v>2.4910000000000001</v>
      </c>
      <c r="V101" s="3">
        <f t="shared" si="13"/>
        <v>172.88585690589531</v>
      </c>
      <c r="W101" s="3">
        <f t="shared" si="14"/>
        <v>122.32508688777806</v>
      </c>
      <c r="X101" s="5">
        <f t="shared" si="12"/>
        <v>50.012324377618931</v>
      </c>
      <c r="Y101" s="5">
        <f t="shared" si="10"/>
        <v>40</v>
      </c>
      <c r="Z101" s="2">
        <f t="shared" si="11"/>
        <v>1.300099317592029</v>
      </c>
      <c r="AA101" s="13">
        <v>2.34</v>
      </c>
      <c r="AB101" s="1">
        <v>75</v>
      </c>
    </row>
    <row r="102" spans="1:28" x14ac:dyDescent="0.25">
      <c r="A102" s="10">
        <v>43205</v>
      </c>
      <c r="B102" s="20">
        <v>2.71</v>
      </c>
      <c r="C102" s="20">
        <v>7.09</v>
      </c>
      <c r="D102" s="20">
        <v>0.14000000000000001</v>
      </c>
      <c r="E102" s="20">
        <v>4.53</v>
      </c>
      <c r="F102" s="20">
        <v>4.4800000000000004</v>
      </c>
      <c r="G102" s="20">
        <v>1.0900000000000001</v>
      </c>
      <c r="H102" s="20">
        <v>12.47</v>
      </c>
      <c r="I102" s="20">
        <v>21.39</v>
      </c>
      <c r="J102" s="20">
        <v>70.709999999999994</v>
      </c>
      <c r="K102" s="20">
        <v>14.28</v>
      </c>
      <c r="L102" s="20">
        <v>28.88</v>
      </c>
      <c r="M102" s="20">
        <v>0.16</v>
      </c>
      <c r="N102" s="20">
        <v>265.95999999999998</v>
      </c>
      <c r="O102" s="20">
        <v>10.87</v>
      </c>
      <c r="P102" s="20">
        <v>6.22</v>
      </c>
      <c r="Q102" s="1">
        <v>2029</v>
      </c>
      <c r="R102" s="1">
        <v>1274</v>
      </c>
      <c r="S102" s="1">
        <v>4237</v>
      </c>
      <c r="T102" s="1">
        <v>3.2370000000000001</v>
      </c>
      <c r="U102" s="1">
        <v>2.6259999999999999</v>
      </c>
      <c r="V102" s="3">
        <f t="shared" si="13"/>
        <v>147.9383885098317</v>
      </c>
      <c r="W102" s="3">
        <f t="shared" si="14"/>
        <v>114.50283569777795</v>
      </c>
      <c r="X102" s="5">
        <f t="shared" si="12"/>
        <v>50.012324377618931</v>
      </c>
      <c r="Y102" s="5">
        <f t="shared" si="10"/>
        <v>40</v>
      </c>
      <c r="Z102" s="2">
        <f t="shared" si="11"/>
        <v>1.300099317592029</v>
      </c>
      <c r="AA102" s="13">
        <v>2.2999999999999998</v>
      </c>
      <c r="AB102" s="1">
        <v>60</v>
      </c>
    </row>
    <row r="103" spans="1:28" x14ac:dyDescent="0.25">
      <c r="A103" s="10">
        <v>43208</v>
      </c>
      <c r="B103" s="20">
        <v>2.65</v>
      </c>
      <c r="C103" s="20">
        <v>7.08</v>
      </c>
      <c r="D103" s="20">
        <v>0.14000000000000001</v>
      </c>
      <c r="E103" s="20">
        <v>3.24</v>
      </c>
      <c r="F103" s="20">
        <v>3.08</v>
      </c>
      <c r="G103" s="20">
        <v>0.99</v>
      </c>
      <c r="H103" s="20">
        <v>10.7</v>
      </c>
      <c r="I103" s="20">
        <v>17.329999999999998</v>
      </c>
      <c r="J103" s="20">
        <v>48.39</v>
      </c>
      <c r="K103" s="20">
        <v>10.15</v>
      </c>
      <c r="L103" s="20">
        <v>25.56</v>
      </c>
      <c r="M103" s="20">
        <v>0.15</v>
      </c>
      <c r="N103" s="20">
        <v>197.04</v>
      </c>
      <c r="O103" s="20">
        <v>10.71</v>
      </c>
      <c r="P103" s="20">
        <v>5.67</v>
      </c>
      <c r="Q103" s="1">
        <v>2029</v>
      </c>
      <c r="R103" s="1">
        <v>1274</v>
      </c>
      <c r="S103" s="1">
        <v>4391</v>
      </c>
      <c r="T103" s="1">
        <v>3.3690000000000002</v>
      </c>
      <c r="U103" s="1">
        <v>2.7639999999999998</v>
      </c>
      <c r="V103" s="3">
        <f t="shared" si="13"/>
        <v>137.15688049958362</v>
      </c>
      <c r="W103" s="3">
        <f t="shared" si="14"/>
        <v>104.97066588974094</v>
      </c>
      <c r="X103" s="5">
        <f t="shared" si="12"/>
        <v>50.012324377618931</v>
      </c>
      <c r="Y103" s="5">
        <f t="shared" si="10"/>
        <v>40</v>
      </c>
      <c r="Z103" s="2">
        <f t="shared" si="11"/>
        <v>1.300099317592029</v>
      </c>
      <c r="AA103" s="13">
        <v>2.2999999999999998</v>
      </c>
      <c r="AB103" s="1">
        <v>45</v>
      </c>
    </row>
    <row r="104" spans="1:28" x14ac:dyDescent="0.25">
      <c r="A104" s="10">
        <v>43210</v>
      </c>
      <c r="B104" s="20">
        <v>2.0699999999999998</v>
      </c>
      <c r="C104" s="20">
        <v>7.07</v>
      </c>
      <c r="D104" s="20">
        <v>0.12</v>
      </c>
      <c r="E104" s="20">
        <v>0.87</v>
      </c>
      <c r="F104" s="20">
        <v>0.6</v>
      </c>
      <c r="G104" s="20">
        <v>0.75</v>
      </c>
      <c r="H104" s="20">
        <v>7.32</v>
      </c>
      <c r="I104" s="20">
        <v>8.76</v>
      </c>
      <c r="J104" s="20">
        <v>9.41</v>
      </c>
      <c r="K104" s="20">
        <v>2.64</v>
      </c>
      <c r="L104" s="20">
        <v>16.64</v>
      </c>
      <c r="M104" s="20">
        <v>0.12</v>
      </c>
      <c r="N104" s="20">
        <v>90</v>
      </c>
      <c r="O104" s="20">
        <v>9.4700000000000006</v>
      </c>
      <c r="P104" s="20">
        <v>4.46</v>
      </c>
      <c r="Q104" s="1">
        <v>2029</v>
      </c>
      <c r="R104" s="1">
        <v>1274</v>
      </c>
      <c r="S104" s="1">
        <v>5295</v>
      </c>
      <c r="T104" s="1">
        <v>3.5049999999999999</v>
      </c>
      <c r="U104" s="1">
        <v>2.8650000000000002</v>
      </c>
      <c r="V104" s="3">
        <f t="shared" si="13"/>
        <v>109.32715842335044</v>
      </c>
      <c r="W104" s="3">
        <f t="shared" si="14"/>
        <v>83.980573724429675</v>
      </c>
      <c r="X104" s="5">
        <f t="shared" si="12"/>
        <v>50.012324377618931</v>
      </c>
      <c r="Y104" s="5">
        <f t="shared" si="10"/>
        <v>40</v>
      </c>
      <c r="Z104" s="2">
        <f t="shared" si="11"/>
        <v>1.300099317592029</v>
      </c>
      <c r="AA104" s="13">
        <v>2.59</v>
      </c>
      <c r="AB104" s="1">
        <v>30</v>
      </c>
    </row>
    <row r="105" spans="1:28" x14ac:dyDescent="0.25">
      <c r="A105" s="10">
        <v>43214</v>
      </c>
      <c r="B105" s="20">
        <v>2.2999999999999998</v>
      </c>
      <c r="C105" s="20">
        <v>7.05</v>
      </c>
      <c r="D105" s="20">
        <v>0.13</v>
      </c>
      <c r="E105" s="20">
        <v>0.94</v>
      </c>
      <c r="F105" s="20">
        <v>0.64</v>
      </c>
      <c r="G105" s="20">
        <v>0.9</v>
      </c>
      <c r="H105" s="20">
        <v>8.24</v>
      </c>
      <c r="I105" s="20">
        <v>12.02</v>
      </c>
      <c r="J105" s="20">
        <v>10.07</v>
      </c>
      <c r="K105" s="20">
        <v>2.8</v>
      </c>
      <c r="L105" s="20">
        <v>20.010000000000002</v>
      </c>
      <c r="M105" s="20">
        <v>0.13</v>
      </c>
      <c r="N105" s="20">
        <v>90</v>
      </c>
      <c r="O105" s="20">
        <v>10.199999999999999</v>
      </c>
      <c r="P105" s="20">
        <v>4.97</v>
      </c>
      <c r="Q105" s="1">
        <v>2029</v>
      </c>
      <c r="R105" s="1">
        <v>1274</v>
      </c>
      <c r="S105" s="1">
        <v>5251</v>
      </c>
      <c r="T105" s="1">
        <v>3.2029999999999998</v>
      </c>
      <c r="U105" s="1">
        <v>2.613</v>
      </c>
      <c r="V105" s="3">
        <f t="shared" si="13"/>
        <v>120.63771151509849</v>
      </c>
      <c r="W105" s="3">
        <f t="shared" si="14"/>
        <v>92.851302429009024</v>
      </c>
      <c r="X105" s="5">
        <f t="shared" si="12"/>
        <v>50.012324377618931</v>
      </c>
      <c r="Y105" s="5">
        <f t="shared" si="10"/>
        <v>40</v>
      </c>
      <c r="Z105" s="2">
        <f t="shared" si="11"/>
        <v>1.300099317592029</v>
      </c>
      <c r="AA105" s="13">
        <v>1.62</v>
      </c>
      <c r="AB105" s="1">
        <v>65</v>
      </c>
    </row>
    <row r="106" spans="1:28" x14ac:dyDescent="0.25">
      <c r="A106" s="10">
        <v>43217</v>
      </c>
      <c r="B106" s="20">
        <v>1.63</v>
      </c>
      <c r="C106" s="20">
        <v>7.03</v>
      </c>
      <c r="D106" s="20">
        <v>0.1</v>
      </c>
      <c r="E106" s="20">
        <v>0.61</v>
      </c>
      <c r="F106" s="20">
        <v>0.6</v>
      </c>
      <c r="G106" s="20">
        <v>0.78</v>
      </c>
      <c r="H106" s="20">
        <v>6</v>
      </c>
      <c r="I106" s="20">
        <v>8</v>
      </c>
      <c r="J106" s="20">
        <v>9.35</v>
      </c>
      <c r="K106" s="20">
        <v>2.68</v>
      </c>
      <c r="L106" s="20">
        <v>9.7100000000000009</v>
      </c>
      <c r="M106" s="20">
        <v>0.09</v>
      </c>
      <c r="N106" s="20">
        <v>90</v>
      </c>
      <c r="O106" s="20">
        <v>8.94</v>
      </c>
      <c r="P106" s="20">
        <v>4.01</v>
      </c>
      <c r="Q106" s="1">
        <v>2029</v>
      </c>
      <c r="R106" s="1">
        <v>1274</v>
      </c>
      <c r="S106" s="1">
        <v>6460</v>
      </c>
      <c r="T106" s="1">
        <v>3.18</v>
      </c>
      <c r="U106" s="1">
        <v>2.597</v>
      </c>
      <c r="V106" s="3">
        <f t="shared" si="13"/>
        <v>98.769398524057095</v>
      </c>
      <c r="W106" s="3">
        <f t="shared" si="14"/>
        <v>75.939015129388409</v>
      </c>
      <c r="X106" s="5">
        <f t="shared" si="12"/>
        <v>50.012324377618931</v>
      </c>
      <c r="Y106" s="5">
        <f t="shared" si="10"/>
        <v>40</v>
      </c>
      <c r="Z106" s="2">
        <f t="shared" si="11"/>
        <v>1.300099317592029</v>
      </c>
      <c r="AA106" s="13">
        <v>2.97</v>
      </c>
      <c r="AB106" s="1">
        <v>61</v>
      </c>
    </row>
    <row r="107" spans="1:28" x14ac:dyDescent="0.25">
      <c r="A107" s="10">
        <v>43220</v>
      </c>
      <c r="B107" s="20">
        <v>2.5099999999999998</v>
      </c>
      <c r="C107" s="20">
        <v>7.02</v>
      </c>
      <c r="D107" s="20">
        <v>0.14000000000000001</v>
      </c>
      <c r="E107" s="20">
        <v>1.58</v>
      </c>
      <c r="F107" s="20">
        <v>1.28</v>
      </c>
      <c r="G107" s="20">
        <v>1.06</v>
      </c>
      <c r="H107" s="20">
        <v>9.1</v>
      </c>
      <c r="I107" s="20">
        <v>15.34</v>
      </c>
      <c r="J107" s="20">
        <v>19.850000000000001</v>
      </c>
      <c r="K107" s="20">
        <v>4.83</v>
      </c>
      <c r="L107" s="20">
        <v>23.52</v>
      </c>
      <c r="M107" s="20">
        <v>0.14000000000000001</v>
      </c>
      <c r="N107" s="20">
        <v>114.23</v>
      </c>
      <c r="O107" s="20">
        <v>10.96</v>
      </c>
      <c r="P107" s="20">
        <v>5.52</v>
      </c>
      <c r="Q107" s="1">
        <v>2029</v>
      </c>
      <c r="R107" s="1">
        <v>1274</v>
      </c>
      <c r="S107" s="1">
        <v>5344</v>
      </c>
      <c r="T107" s="1">
        <v>2.9329999999999998</v>
      </c>
      <c r="U107" s="1">
        <v>2.335</v>
      </c>
      <c r="V107" s="3">
        <f t="shared" si="13"/>
        <v>129.45044108850149</v>
      </c>
      <c r="W107" s="3">
        <f t="shared" si="14"/>
        <v>102.09773173139801</v>
      </c>
      <c r="X107" s="5">
        <f t="shared" si="12"/>
        <v>50.012324377618931</v>
      </c>
      <c r="Y107" s="5">
        <f t="shared" si="10"/>
        <v>40</v>
      </c>
      <c r="Z107" s="2">
        <f t="shared" si="11"/>
        <v>1.300099317592029</v>
      </c>
      <c r="AA107" s="13">
        <v>2.56</v>
      </c>
      <c r="AB107" s="1">
        <v>98</v>
      </c>
    </row>
    <row r="108" spans="1:28" x14ac:dyDescent="0.25">
      <c r="A108" s="10">
        <v>43224</v>
      </c>
      <c r="B108" s="20">
        <v>2.4</v>
      </c>
      <c r="C108" s="20">
        <v>7.01</v>
      </c>
      <c r="D108" s="20">
        <v>0.13</v>
      </c>
      <c r="E108" s="20">
        <v>0.9</v>
      </c>
      <c r="F108" s="20">
        <v>0.6</v>
      </c>
      <c r="G108" s="20">
        <v>1.02</v>
      </c>
      <c r="H108" s="20">
        <v>8.01</v>
      </c>
      <c r="I108" s="20">
        <v>13.02</v>
      </c>
      <c r="J108" s="20">
        <v>9.31</v>
      </c>
      <c r="K108" s="20">
        <v>2.71</v>
      </c>
      <c r="L108" s="20">
        <v>20.34</v>
      </c>
      <c r="M108" s="20">
        <v>0.13</v>
      </c>
      <c r="N108" s="20">
        <v>90</v>
      </c>
      <c r="O108" s="20">
        <v>10.81</v>
      </c>
      <c r="P108" s="20">
        <v>5.24</v>
      </c>
      <c r="Q108" s="1">
        <v>2029</v>
      </c>
      <c r="R108" s="1">
        <v>1274</v>
      </c>
      <c r="S108" s="1">
        <v>5655</v>
      </c>
      <c r="T108" s="1">
        <v>2.9569999999999999</v>
      </c>
      <c r="U108" s="1">
        <v>2.327</v>
      </c>
      <c r="V108" s="3">
        <f t="shared" si="13"/>
        <v>121.33835790151022</v>
      </c>
      <c r="W108" s="3">
        <f t="shared" si="14"/>
        <v>96.814506369505409</v>
      </c>
      <c r="X108" s="5">
        <f t="shared" si="12"/>
        <v>50.012324377618931</v>
      </c>
      <c r="Y108" s="5">
        <f t="shared" si="10"/>
        <v>40</v>
      </c>
      <c r="Z108" s="2">
        <f t="shared" si="11"/>
        <v>1.300099317592029</v>
      </c>
      <c r="AA108" s="13">
        <v>3.89</v>
      </c>
      <c r="AB108" s="1">
        <v>98</v>
      </c>
    </row>
    <row r="109" spans="1:28" x14ac:dyDescent="0.25">
      <c r="A109" s="10">
        <v>43228</v>
      </c>
      <c r="B109" s="20">
        <v>3.6</v>
      </c>
      <c r="C109" s="20">
        <v>7</v>
      </c>
      <c r="D109" s="20">
        <v>0.19</v>
      </c>
      <c r="E109" s="20">
        <v>4.1900000000000004</v>
      </c>
      <c r="F109" s="20">
        <v>3.89</v>
      </c>
      <c r="G109" s="20">
        <v>2.13</v>
      </c>
      <c r="H109" s="20">
        <v>11.53</v>
      </c>
      <c r="I109" s="20">
        <v>22.82</v>
      </c>
      <c r="J109" s="20">
        <v>60.23</v>
      </c>
      <c r="K109" s="20">
        <v>13.28</v>
      </c>
      <c r="L109" s="20">
        <v>33.72</v>
      </c>
      <c r="M109" s="20">
        <v>0.19</v>
      </c>
      <c r="N109" s="20">
        <v>257.01</v>
      </c>
      <c r="O109" s="20">
        <v>13.27</v>
      </c>
      <c r="P109" s="20">
        <v>6.7</v>
      </c>
      <c r="Q109" s="1">
        <v>2029</v>
      </c>
      <c r="R109" s="1">
        <v>1274</v>
      </c>
      <c r="S109" s="1">
        <v>2991</v>
      </c>
      <c r="T109" s="1">
        <v>2.9649999999999999</v>
      </c>
      <c r="U109" s="1">
        <v>2.3250000000000002</v>
      </c>
      <c r="V109" s="3">
        <f t="shared" si="13"/>
        <v>228.79205350734614</v>
      </c>
      <c r="W109" s="3">
        <f t="shared" si="14"/>
        <v>183.20193555577123</v>
      </c>
      <c r="X109" s="5">
        <f t="shared" si="12"/>
        <v>50.012324377618931</v>
      </c>
      <c r="Y109" s="5">
        <f t="shared" si="10"/>
        <v>40</v>
      </c>
      <c r="Z109" s="2">
        <f t="shared" si="11"/>
        <v>1.300099317592029</v>
      </c>
      <c r="AA109" s="13">
        <v>4.6500000000000004</v>
      </c>
      <c r="AB109" s="1">
        <v>81</v>
      </c>
    </row>
    <row r="110" spans="1:28" x14ac:dyDescent="0.25">
      <c r="A110" s="10">
        <v>43232</v>
      </c>
      <c r="B110" s="20">
        <v>2.14</v>
      </c>
      <c r="C110" s="20">
        <v>7</v>
      </c>
      <c r="D110" s="20">
        <v>0.12</v>
      </c>
      <c r="E110" s="20">
        <v>0.9</v>
      </c>
      <c r="F110" s="20">
        <v>0.6</v>
      </c>
      <c r="G110" s="20">
        <v>1.04</v>
      </c>
      <c r="H110" s="20">
        <v>7.38</v>
      </c>
      <c r="I110" s="20">
        <v>12.07</v>
      </c>
      <c r="J110" s="20">
        <v>9.2799999999999994</v>
      </c>
      <c r="K110" s="20">
        <v>2.73</v>
      </c>
      <c r="L110" s="20">
        <v>19.329999999999998</v>
      </c>
      <c r="M110" s="20">
        <v>0.12</v>
      </c>
      <c r="N110" s="20">
        <v>90</v>
      </c>
      <c r="O110" s="20">
        <v>10.52</v>
      </c>
      <c r="P110" s="20">
        <v>5.21</v>
      </c>
      <c r="Q110" s="1">
        <v>2029</v>
      </c>
      <c r="R110" s="1">
        <v>1274</v>
      </c>
      <c r="S110" s="1">
        <v>6357</v>
      </c>
      <c r="T110" s="1">
        <v>2.7069999999999999</v>
      </c>
      <c r="U110" s="1">
        <v>2.1070000000000002</v>
      </c>
      <c r="V110" s="3">
        <f t="shared" si="13"/>
        <v>117.90754038187981</v>
      </c>
      <c r="W110" s="3">
        <f t="shared" si="14"/>
        <v>95.115803490749983</v>
      </c>
      <c r="X110" s="5">
        <f t="shared" si="12"/>
        <v>50.012324377618931</v>
      </c>
      <c r="Y110" s="5">
        <f t="shared" si="10"/>
        <v>40</v>
      </c>
      <c r="Z110" s="2">
        <f t="shared" si="11"/>
        <v>1.300099317592029</v>
      </c>
      <c r="AA110" s="13">
        <v>4.4000000000000004</v>
      </c>
      <c r="AB110" s="1">
        <v>78</v>
      </c>
    </row>
    <row r="111" spans="1:28" x14ac:dyDescent="0.25">
      <c r="A111" s="10">
        <v>43236</v>
      </c>
      <c r="B111" s="20">
        <v>2.79</v>
      </c>
      <c r="C111" s="20">
        <v>7</v>
      </c>
      <c r="D111" s="20">
        <v>0.15</v>
      </c>
      <c r="E111" s="20">
        <v>1.44</v>
      </c>
      <c r="F111" s="20">
        <v>1.1399999999999999</v>
      </c>
      <c r="G111" s="20">
        <v>1.1200000000000001</v>
      </c>
      <c r="H111" s="20">
        <v>8.1999999999999993</v>
      </c>
      <c r="I111" s="20">
        <v>14.42</v>
      </c>
      <c r="J111" s="20">
        <v>17.63</v>
      </c>
      <c r="K111" s="20">
        <v>4.4800000000000004</v>
      </c>
      <c r="L111" s="20">
        <v>22.01</v>
      </c>
      <c r="M111" s="20">
        <v>0.15</v>
      </c>
      <c r="N111" s="20">
        <v>105.85</v>
      </c>
      <c r="O111" s="20">
        <v>11.65</v>
      </c>
      <c r="P111" s="20">
        <v>5.6</v>
      </c>
      <c r="Q111" s="1">
        <v>2029</v>
      </c>
      <c r="R111" s="1">
        <v>1274</v>
      </c>
      <c r="S111" s="1">
        <v>5184</v>
      </c>
      <c r="T111" s="1">
        <v>2.9830000000000001</v>
      </c>
      <c r="U111" s="1">
        <v>2.431</v>
      </c>
      <c r="V111" s="3">
        <f t="shared" si="13"/>
        <v>131.20905294611853</v>
      </c>
      <c r="W111" s="3">
        <f t="shared" si="14"/>
        <v>101.09262560242952</v>
      </c>
      <c r="X111" s="5">
        <f t="shared" si="12"/>
        <v>50.012324377618931</v>
      </c>
      <c r="Y111" s="5">
        <f t="shared" si="10"/>
        <v>40</v>
      </c>
      <c r="Z111" s="2">
        <f t="shared" si="11"/>
        <v>1.300099317592029</v>
      </c>
      <c r="AA111" s="13">
        <v>1.78</v>
      </c>
      <c r="AB111" s="1">
        <v>79</v>
      </c>
    </row>
    <row r="112" spans="1:28" x14ac:dyDescent="0.25">
      <c r="A112" s="10">
        <v>43246</v>
      </c>
      <c r="B112" s="20">
        <v>2.31</v>
      </c>
      <c r="C112" s="20">
        <v>7</v>
      </c>
      <c r="D112" s="20">
        <v>0.13</v>
      </c>
      <c r="E112" s="20">
        <v>0.9</v>
      </c>
      <c r="F112" s="20">
        <v>0.6</v>
      </c>
      <c r="G112" s="20">
        <v>1.02</v>
      </c>
      <c r="H112" s="20">
        <v>7.45</v>
      </c>
      <c r="I112" s="20">
        <v>12.23</v>
      </c>
      <c r="J112" s="20">
        <v>9.3000000000000007</v>
      </c>
      <c r="K112" s="20">
        <v>2.72</v>
      </c>
      <c r="L112" s="20">
        <v>19.440000000000001</v>
      </c>
      <c r="M112" s="20">
        <v>0.13</v>
      </c>
      <c r="N112" s="20">
        <v>90</v>
      </c>
      <c r="O112" s="20">
        <v>10.59</v>
      </c>
      <c r="P112" s="20">
        <v>5.44</v>
      </c>
      <c r="Q112" s="1">
        <v>2029</v>
      </c>
      <c r="R112" s="1">
        <v>1274</v>
      </c>
      <c r="S112" s="1">
        <v>5752</v>
      </c>
      <c r="T112" s="1">
        <v>2.9620000000000002</v>
      </c>
      <c r="U112" s="1">
        <v>2.3250000000000002</v>
      </c>
      <c r="V112" s="3">
        <f t="shared" si="13"/>
        <v>119.09077334695665</v>
      </c>
      <c r="W112" s="3">
        <f t="shared" si="14"/>
        <v>95.263732483885917</v>
      </c>
      <c r="X112" s="5">
        <f t="shared" si="12"/>
        <v>50.012324377618931</v>
      </c>
      <c r="Y112" s="5">
        <f t="shared" si="10"/>
        <v>40</v>
      </c>
      <c r="Z112" s="2">
        <f t="shared" si="11"/>
        <v>1.300099317592029</v>
      </c>
      <c r="AA112" s="13">
        <v>1.89</v>
      </c>
      <c r="AB112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Бабиков</dc:creator>
  <cp:lastModifiedBy>Олег Бабиков</cp:lastModifiedBy>
  <dcterms:created xsi:type="dcterms:W3CDTF">2026-04-02T14:24:15Z</dcterms:created>
  <dcterms:modified xsi:type="dcterms:W3CDTF">2026-04-06T20:15:13Z</dcterms:modified>
</cp:coreProperties>
</file>